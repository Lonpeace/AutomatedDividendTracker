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Zhen Xuan\OneDrive\Desktop\CodingStuff\PersonalProjects\AutomatedDividendTracker\dividendTracker\"/>
    </mc:Choice>
  </mc:AlternateContent>
  <xr:revisionPtr revIDLastSave="0" documentId="13_ncr:1_{2E080EEB-B9D1-43B1-8094-10978D163127}" xr6:coauthVersionLast="47" xr6:coauthVersionMax="47" xr10:uidLastSave="{00000000-0000-0000-0000-000000000000}"/>
  <bookViews>
    <workbookView xWindow="0" yWindow="2385" windowWidth="22725" windowHeight="14865" tabRatio="500" xr2:uid="{00000000-000D-0000-FFFF-FFFF00000000}"/>
  </bookViews>
  <sheets>
    <sheet name="Portfolio" sheetId="1" r:id="rId1"/>
    <sheet name="Graphs" sheetId="7" r:id="rId2"/>
    <sheet name="Buy_Transactions" sheetId="3" r:id="rId3"/>
    <sheet name="Sell_Transactions" sheetId="4" r:id="rId4"/>
    <sheet name="Ref" sheetId="5" r:id="rId5"/>
    <sheet name="_xlwings.conf" sheetId="2" r:id="rId6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1" l="1"/>
  <c r="H17" i="1" s="1"/>
  <c r="I17" i="1" s="1"/>
  <c r="G17" i="1"/>
  <c r="K17" i="1" a="1"/>
  <c r="K17" i="1" s="1"/>
  <c r="H19" i="3"/>
  <c r="I19" i="3" a="1"/>
  <c r="I19" i="3" s="1"/>
  <c r="J19" i="3" s="1" a="1"/>
  <c r="J19" i="3" s="1"/>
  <c r="K19" i="3" s="1"/>
  <c r="L15" i="1"/>
  <c r="L14" i="1"/>
  <c r="I4" i="1"/>
  <c r="I3" i="1"/>
  <c r="I2" i="1"/>
  <c r="J4" i="3" a="1"/>
  <c r="J4" i="3" s="1"/>
  <c r="K4" i="3" s="1"/>
  <c r="J5" i="3" a="1"/>
  <c r="J5" i="3" s="1"/>
  <c r="K5" i="3" s="1"/>
  <c r="J6" i="3" a="1"/>
  <c r="J6" i="3" s="1"/>
  <c r="K6" i="3" s="1"/>
  <c r="J7" i="3" a="1"/>
  <c r="J7" i="3" s="1"/>
  <c r="K7" i="3" s="1"/>
  <c r="J8" i="3" a="1"/>
  <c r="J8" i="3" s="1"/>
  <c r="K8" i="3" s="1"/>
  <c r="J9" i="3" a="1"/>
  <c r="J9" i="3" s="1"/>
  <c r="K9" i="3" s="1"/>
  <c r="J11" i="3" a="1"/>
  <c r="J11" i="3" s="1"/>
  <c r="K11" i="3" s="1"/>
  <c r="J17" i="3" a="1"/>
  <c r="J17" i="3" s="1"/>
  <c r="K17" i="3" s="1"/>
  <c r="J3" i="3" a="1"/>
  <c r="J3" i="3" s="1"/>
  <c r="K3" i="3" s="1"/>
  <c r="I14" i="3" a="1"/>
  <c r="I14" i="3" s="1"/>
  <c r="I15" i="3" a="1"/>
  <c r="I15" i="3" s="1"/>
  <c r="I16" i="3" a="1"/>
  <c r="I16" i="3" s="1"/>
  <c r="I17" i="3" a="1"/>
  <c r="I17" i="3" s="1"/>
  <c r="I18" i="3" a="1"/>
  <c r="I18" i="3" s="1"/>
  <c r="I5" i="3" a="1"/>
  <c r="I5" i="3" s="1"/>
  <c r="I6" i="3" a="1"/>
  <c r="I6" i="3" s="1"/>
  <c r="I7" i="3" a="1"/>
  <c r="I7" i="3" s="1"/>
  <c r="I8" i="3" a="1"/>
  <c r="I8" i="3" s="1"/>
  <c r="I9" i="3" a="1"/>
  <c r="I9" i="3" s="1"/>
  <c r="I10" i="3" a="1"/>
  <c r="I10" i="3" s="1"/>
  <c r="I11" i="3" a="1"/>
  <c r="I11" i="3" s="1"/>
  <c r="I12" i="3" a="1"/>
  <c r="I12" i="3" s="1"/>
  <c r="I13" i="3" a="1"/>
  <c r="I13" i="3" s="1"/>
  <c r="I4" i="3" a="1"/>
  <c r="I4" i="3" s="1"/>
  <c r="I3" i="3" a="1"/>
  <c r="I3" i="3" s="1"/>
  <c r="H4" i="3"/>
  <c r="H5" i="3"/>
  <c r="H6" i="3"/>
  <c r="H7" i="3"/>
  <c r="H8" i="3"/>
  <c r="H9" i="3"/>
  <c r="H10" i="3"/>
  <c r="H11" i="3"/>
  <c r="H12" i="3"/>
  <c r="G10" i="1" s="1"/>
  <c r="H13" i="3"/>
  <c r="H14" i="3"/>
  <c r="H15" i="3"/>
  <c r="G11" i="1" s="1"/>
  <c r="H16" i="3"/>
  <c r="H17" i="3"/>
  <c r="G13" i="1" s="1"/>
  <c r="H18" i="3"/>
  <c r="G12" i="1" s="1"/>
  <c r="H3" i="3"/>
  <c r="G8" i="1" s="1"/>
  <c r="H3" i="4"/>
  <c r="F9" i="1"/>
  <c r="F8" i="1"/>
  <c r="O8" i="1" s="1"/>
  <c r="G9" i="1"/>
  <c r="G14" i="1"/>
  <c r="G15" i="1"/>
  <c r="G16" i="1"/>
  <c r="F11" i="1"/>
  <c r="F12" i="1"/>
  <c r="O12" i="1" s="1"/>
  <c r="F13" i="1"/>
  <c r="O13" i="1" s="1"/>
  <c r="F14" i="1"/>
  <c r="O14" i="1" s="1"/>
  <c r="F15" i="1"/>
  <c r="O15" i="1" s="1"/>
  <c r="F16" i="1"/>
  <c r="O16" i="1" s="1"/>
  <c r="D3" i="1" s="1"/>
  <c r="F10" i="1"/>
  <c r="H10" i="1" s="1"/>
  <c r="I10" i="1" s="1"/>
  <c r="J12" i="3" a="1"/>
  <c r="J13" i="3" a="1"/>
  <c r="J18" i="3" a="1"/>
  <c r="J10" i="3" a="1"/>
  <c r="J17" i="1" l="1"/>
  <c r="N17" i="1"/>
  <c r="O17" i="1"/>
  <c r="I5" i="1"/>
  <c r="J10" i="3"/>
  <c r="K10" i="3" s="1"/>
  <c r="J18" i="3"/>
  <c r="K18" i="3" s="1"/>
  <c r="J13" i="3"/>
  <c r="K13" i="3" s="1"/>
  <c r="J12" i="3"/>
  <c r="K12" i="3" s="1"/>
  <c r="D4" i="1"/>
  <c r="B4" i="1" a="1"/>
  <c r="B4" i="1" s="1"/>
  <c r="B3" i="1" a="1"/>
  <c r="B3" i="1" s="1"/>
  <c r="B2" i="1" a="1"/>
  <c r="B2" i="1" s="1"/>
  <c r="I3" i="4"/>
  <c r="J3" i="4" s="1"/>
  <c r="K8" i="1" s="1" a="1"/>
  <c r="K8" i="1" s="1"/>
  <c r="H8" i="1"/>
  <c r="J10" i="1"/>
  <c r="H11" i="1"/>
  <c r="I11" i="1" s="1"/>
  <c r="O11" i="1"/>
  <c r="O10" i="1"/>
  <c r="H9" i="1"/>
  <c r="I9" i="1" s="1"/>
  <c r="O9" i="1"/>
  <c r="H15" i="1"/>
  <c r="I15" i="1" s="1"/>
  <c r="H16" i="1"/>
  <c r="I16" i="1" s="1"/>
  <c r="F3" i="1" s="1"/>
  <c r="H14" i="1"/>
  <c r="I14" i="1" s="1"/>
  <c r="F4" i="1" s="1"/>
  <c r="H13" i="1"/>
  <c r="I13" i="1" s="1"/>
  <c r="H12" i="1"/>
  <c r="I12" i="1" s="1"/>
  <c r="J15" i="3" a="1"/>
  <c r="J14" i="3" a="1"/>
  <c r="C4" i="1" l="1"/>
  <c r="J14" i="3"/>
  <c r="K14" i="3" s="1"/>
  <c r="J15" i="3"/>
  <c r="K15" i="3" s="1"/>
  <c r="B5" i="1"/>
  <c r="C3" i="1"/>
  <c r="C2" i="1"/>
  <c r="G3" i="1"/>
  <c r="D2" i="1"/>
  <c r="E2" i="1" s="1"/>
  <c r="K12" i="1" a="1"/>
  <c r="K12" i="1" s="1"/>
  <c r="N12" i="1" s="1"/>
  <c r="K11" i="1" a="1"/>
  <c r="K11" i="1" s="1"/>
  <c r="N11" i="1" s="1"/>
  <c r="K15" i="1" a="1"/>
  <c r="K15" i="1" s="1"/>
  <c r="N15" i="1" s="1"/>
  <c r="K16" i="1" a="1"/>
  <c r="K16" i="1" s="1"/>
  <c r="H3" i="1" s="1"/>
  <c r="K9" i="1" a="1"/>
  <c r="K9" i="1" s="1"/>
  <c r="N9" i="1" s="1"/>
  <c r="K10" i="1" a="1"/>
  <c r="K10" i="1" s="1"/>
  <c r="N10" i="1" s="1"/>
  <c r="K14" i="1" a="1"/>
  <c r="K14" i="1" s="1"/>
  <c r="H4" i="1" s="1"/>
  <c r="K13" i="1" a="1"/>
  <c r="K13" i="1" s="1"/>
  <c r="N13" i="1" s="1"/>
  <c r="G4" i="1"/>
  <c r="I8" i="1"/>
  <c r="J8" i="1" s="1"/>
  <c r="J9" i="1"/>
  <c r="J11" i="1"/>
  <c r="J14" i="1"/>
  <c r="J16" i="1"/>
  <c r="J12" i="1"/>
  <c r="J13" i="1"/>
  <c r="J15" i="1"/>
  <c r="J16" i="3" a="1"/>
  <c r="H2" i="1" l="1"/>
  <c r="D5" i="1"/>
  <c r="J16" i="3"/>
  <c r="K16" i="3" s="1"/>
  <c r="E3" i="1"/>
  <c r="E4" i="1"/>
  <c r="N16" i="1"/>
  <c r="N14" i="1"/>
  <c r="N8" i="1"/>
  <c r="F2" i="1"/>
  <c r="H5" i="1" l="1"/>
  <c r="G2" i="1"/>
  <c r="F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<sst xmlns="http://schemas.openxmlformats.org/spreadsheetml/2006/main" count="157" uniqueCount="84">
  <si>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</si>
  <si>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</si>
  <si>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</si>
  <si>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</si>
  <si>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</si>
  <si>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</si>
  <si>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</si>
  <si>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</si>
  <si>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</si>
  <si>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</si>
  <si>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</si>
  <si>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</si>
  <si>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</si>
  <si>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</si>
  <si>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</si>
  <si>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Cost</t>
  </si>
  <si>
    <t>%</t>
  </si>
  <si>
    <t>Current Value</t>
  </si>
  <si>
    <t>Unrealised Gains/Losses</t>
  </si>
  <si>
    <t>Realised Gains/Losses</t>
  </si>
  <si>
    <t>Dividends Collected</t>
  </si>
  <si>
    <t>Base Currency Securities</t>
  </si>
  <si>
    <t>USD Securities in Base Currency</t>
  </si>
  <si>
    <t>HKD Securities in Base Currency</t>
  </si>
  <si>
    <t>Stock Name</t>
  </si>
  <si>
    <t>Units</t>
  </si>
  <si>
    <t>Cost (Per Unit)</t>
  </si>
  <si>
    <t>Unrealised Gain/Loss</t>
  </si>
  <si>
    <t>Unrealised Gain/Loss (%)</t>
  </si>
  <si>
    <t>Realised Gain/Loss</t>
  </si>
  <si>
    <t>Total Gain/Loss</t>
  </si>
  <si>
    <t>Market Value</t>
  </si>
  <si>
    <t>DBS</t>
  </si>
  <si>
    <t>OCBC Bank</t>
  </si>
  <si>
    <t>Mapletree Ind Tr</t>
  </si>
  <si>
    <t>Mapletree Log Tr</t>
  </si>
  <si>
    <t>Mapletree Panasia Com Tr</t>
  </si>
  <si>
    <t>D05.SI</t>
  </si>
  <si>
    <t>O39.SI</t>
  </si>
  <si>
    <t>ME8U.SI</t>
  </si>
  <si>
    <t>M44U.SI</t>
  </si>
  <si>
    <t>N2IU.SI</t>
  </si>
  <si>
    <t>Currency</t>
  </si>
  <si>
    <t>SGD</t>
  </si>
  <si>
    <t>HKD</t>
  </si>
  <si>
    <t>USD</t>
  </si>
  <si>
    <t>Perfect Shape Medical</t>
  </si>
  <si>
    <t>Bank of China</t>
  </si>
  <si>
    <t>1830.HK</t>
  </si>
  <si>
    <t>3988.HK</t>
  </si>
  <si>
    <t>HongkongLand USD</t>
  </si>
  <si>
    <t>H78.SI</t>
  </si>
  <si>
    <t>Buy Transactions</t>
  </si>
  <si>
    <t>Date</t>
  </si>
  <si>
    <t>Transacted Units</t>
  </si>
  <si>
    <t>Transacted Price</t>
  </si>
  <si>
    <t>Fees</t>
  </si>
  <si>
    <t>Total Cost</t>
  </si>
  <si>
    <t>Stock Ticker</t>
  </si>
  <si>
    <t>Perfect Shape</t>
  </si>
  <si>
    <t>Currency Rates</t>
  </si>
  <si>
    <t>HKD to SGD</t>
  </si>
  <si>
    <t>USD to SGD</t>
  </si>
  <si>
    <t>Currency Transacted In</t>
  </si>
  <si>
    <t>Remarks</t>
  </si>
  <si>
    <t>Preferential Offering</t>
  </si>
  <si>
    <t>Mapletree NAC Tr</t>
  </si>
  <si>
    <t>RW0U.SI</t>
  </si>
  <si>
    <t>YahooTicker</t>
  </si>
  <si>
    <t>Total Value</t>
  </si>
  <si>
    <t>Previous Cost</t>
  </si>
  <si>
    <t>Gains/Losses from Sale</t>
  </si>
  <si>
    <t>From yfinance Module</t>
  </si>
  <si>
    <t>Current Price</t>
  </si>
  <si>
    <t>Last Close Price</t>
  </si>
  <si>
    <t>% of Cost</t>
  </si>
  <si>
    <t>Total</t>
  </si>
  <si>
    <t>Time of last update:</t>
  </si>
  <si>
    <t>Previous Units</t>
  </si>
  <si>
    <t>Culmulative Units</t>
  </si>
  <si>
    <t>Previous Row</t>
  </si>
  <si>
    <t>Miscellaneous Fees</t>
  </si>
  <si>
    <t>Landlease REIT</t>
  </si>
  <si>
    <t>JYEU.SI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</si>
</sst>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</numFmts>
  <fonts count="4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Fill="1" applyBorder="1"/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4" fontId="0" fillId="0" borderId="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22" fontId="0" fillId="0" borderId="14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22" fontId="0" fillId="0" borderId="0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18" xfId="0" applyFill="1" applyBorder="1"/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</xdr:row>
          <xdr:rowOff>66675</xdr:rowOff>
        </xdr:from>
        <xdr:to>
          <xdr:col>10</xdr:col>
          <xdr:colOff>561975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 to Refresh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7"/>
  <sheetViews>
    <sheetView tabSelected="1" zoomScale="85" zoomScaleNormal="85" workbookViewId="0">
      <selection activeCell="O17" sqref="O17"/>
    </sheetView>
  </sheetViews>
  <sheetFormatPr defaultColWidth="11" defaultRowHeight="15.75" x14ac:dyDescent="0.25"/>
  <cols>
    <col min="1" max="1" width="27.375" bestFit="1" customWidth="1"/>
    <col min="3" max="3" width="10.125" customWidth="1"/>
    <col min="4" max="4" width="13.625" bestFit="1" customWidth="1"/>
    <col min="5" max="5" width="13.875" bestFit="1" customWidth="1"/>
    <col min="6" max="6" width="13.25" customWidth="1"/>
    <col min="7" max="7" width="14" customWidth="1"/>
    <col min="8" max="8" width="14.25" customWidth="1"/>
    <col min="9" max="9" width="19" customWidth="1"/>
    <col min="10" max="10" width="18.75" customWidth="1"/>
    <col min="11" max="12" width="15.125" customWidth="1"/>
    <col min="13" max="13" width="12.75" customWidth="1"/>
    <col min="14" max="14" width="14" customWidth="1"/>
    <col min="15" max="15" width="12.875" customWidth="1"/>
    <col min="16" max="16" width="11.75" bestFit="1" customWidth="1"/>
  </cols>
  <sheetData>
    <row r="1" spans="1:15" ht="33" customHeight="1" thickBot="1" x14ac:dyDescent="0.3">
      <c r="A1" s="29"/>
      <c r="B1" s="30" t="s">
        <v>15</v>
      </c>
      <c r="C1" s="30" t="s">
        <v>16</v>
      </c>
      <c r="D1" s="30" t="s">
        <v>17</v>
      </c>
      <c r="E1" s="30" t="s">
        <v>16</v>
      </c>
      <c r="F1" s="31" t="s">
        <v>18</v>
      </c>
      <c r="G1" s="30" t="s">
        <v>75</v>
      </c>
      <c r="H1" s="31" t="s">
        <v>19</v>
      </c>
      <c r="I1" s="32" t="s">
        <v>20</v>
      </c>
      <c r="J1" s="37" t="s">
        <v>77</v>
      </c>
      <c r="K1" s="38">
        <v>44978.760798611111</v>
      </c>
      <c r="L1" s="44"/>
    </row>
    <row r="2" spans="1:15" x14ac:dyDescent="0.25">
      <c r="A2" s="8" t="s">
        <v>21</v>
      </c>
      <c r="B2" s="12" cm="1">
        <f t="array" ref="B2">SUMPRODUCT(G8:G16, --(C8:C16="SGD"), --(F8:F16&lt;&gt;0))</f>
        <v>16443.580000000002</v>
      </c>
      <c r="C2" s="23">
        <f>B2/($B$2+$B$3+$B$4)</f>
        <v>0.72925802212783486</v>
      </c>
      <c r="D2" s="12">
        <f>SUMIF(C8:C16, "SGD", O8:O16)</f>
        <v>18897.000122070313</v>
      </c>
      <c r="E2" s="23">
        <f>D2/($D$2+$D$3+$D$4)</f>
        <v>0.72509081894950067</v>
      </c>
      <c r="F2" s="12">
        <f>SUMIF(C8:C16, "SGD", I8:I16)</f>
        <v>2453.420122070313</v>
      </c>
      <c r="G2" s="23">
        <f>F2/(B2)</f>
        <v>0.14920231008517079</v>
      </c>
      <c r="H2" s="12">
        <f>SUMIF(C8:C16, "SGD", K8:K16)</f>
        <v>613.20000000000027</v>
      </c>
      <c r="I2" s="25">
        <f>SUMIF(C8:C16, "SGD", M8:M16)</f>
        <v>1825.0523000000001</v>
      </c>
    </row>
    <row r="3" spans="1:15" x14ac:dyDescent="0.25">
      <c r="A3" s="8" t="s">
        <v>22</v>
      </c>
      <c r="B3" s="12" cm="1">
        <f t="array" ref="B3">SUMPRODUCT(G8:G16, --(C8:C16="USD"), --(F8:F16&lt;&gt;0)) * Ref!B3</f>
        <v>1087.5338255167007</v>
      </c>
      <c r="C3" s="23">
        <f>B3/($B$2+$B$3+$B$4)</f>
        <v>4.8231149578949771E-2</v>
      </c>
      <c r="D3" s="12">
        <f>SUMIF(C8:C16, "USD", O8:O16) * Ref!B3</f>
        <v>1292.1988423796847</v>
      </c>
      <c r="E3" s="23">
        <f>D3/($D$2+$D$3+$D$4)</f>
        <v>4.9582553358423272E-2</v>
      </c>
      <c r="F3" s="12">
        <f>SUMIF(C8:C16, "USD", I8:I16) * Ref!B3</f>
        <v>204.66501686298386</v>
      </c>
      <c r="G3" s="23">
        <f t="shared" ref="G3:G4" si="0">F3/(B3)</f>
        <v>0.18819186315032085</v>
      </c>
      <c r="H3" s="12">
        <f>SUMIF(C8:C16, "USD", K8:K16) * Ref!B3</f>
        <v>0</v>
      </c>
      <c r="I3" s="25">
        <f>SUMIF(C8:C16, "USD", M8:M16) * Ref!B3</f>
        <v>133.76799821853638</v>
      </c>
    </row>
    <row r="4" spans="1:15" x14ac:dyDescent="0.25">
      <c r="A4" s="8" t="s">
        <v>23</v>
      </c>
      <c r="B4" s="12" cm="1">
        <f t="array" ref="B4">SUMPRODUCT(G8:G16, --(C8:C16="HKD"), --(F8:F16&lt;&gt;0)) * Ref!B2</f>
        <v>5017.2565743327141</v>
      </c>
      <c r="C4" s="23">
        <f>B4/($B$2+$B$3+$B$4)</f>
        <v>0.22251082829321539</v>
      </c>
      <c r="D4" s="12">
        <f xml:space="preserve"> SUMIF(C8:C16, "HKD", O8:O16) * Ref!B2</f>
        <v>5872.3641228443175</v>
      </c>
      <c r="E4" s="23">
        <f>D4/($D$2+$D$3+$D$4)</f>
        <v>0.22532662769207604</v>
      </c>
      <c r="F4" s="12">
        <f xml:space="preserve"> SUMIF(C8:C16, "HKD", I8:I16) * Ref!B2</f>
        <v>855.10754851160311</v>
      </c>
      <c r="G4" s="23">
        <f t="shared" si="0"/>
        <v>0.17043329075219377</v>
      </c>
      <c r="H4" s="12">
        <f xml:space="preserve"> SUMIF(C8:C16, "HKD",K8:K16) * Ref!B2</f>
        <v>0</v>
      </c>
      <c r="I4" s="25">
        <f xml:space="preserve"> SUMIF(C8:C16, "HKD",M8:M16) * Ref!B2</f>
        <v>1041.2213246641161</v>
      </c>
    </row>
    <row r="5" spans="1:15" ht="16.5" thickBot="1" x14ac:dyDescent="0.3">
      <c r="A5" s="9" t="s">
        <v>76</v>
      </c>
      <c r="B5" s="21">
        <f>B2+B3+B4</f>
        <v>22548.370399849417</v>
      </c>
      <c r="C5" s="10"/>
      <c r="D5" s="21">
        <f>D2+D3+D4</f>
        <v>26061.563087294315</v>
      </c>
      <c r="E5" s="10"/>
      <c r="F5" s="21">
        <f>F2+F3+F4</f>
        <v>3513.1926874449</v>
      </c>
      <c r="G5" s="10"/>
      <c r="H5" s="21">
        <f>H2+H3+H4</f>
        <v>613.20000000000027</v>
      </c>
      <c r="I5" s="26">
        <f>I2+I3+I4</f>
        <v>3000.0416228826525</v>
      </c>
    </row>
    <row r="6" spans="1:15" ht="16.5" thickBot="1" x14ac:dyDescent="0.3"/>
    <row r="7" spans="1:15" ht="31.5" x14ac:dyDescent="0.25">
      <c r="A7" s="33" t="s">
        <v>24</v>
      </c>
      <c r="B7" s="31" t="s">
        <v>68</v>
      </c>
      <c r="C7" s="31" t="s">
        <v>42</v>
      </c>
      <c r="D7" s="34" t="s">
        <v>73</v>
      </c>
      <c r="E7" s="34" t="s">
        <v>74</v>
      </c>
      <c r="F7" s="31" t="s">
        <v>25</v>
      </c>
      <c r="G7" s="35" t="s">
        <v>15</v>
      </c>
      <c r="H7" s="31" t="s">
        <v>26</v>
      </c>
      <c r="I7" s="31" t="s">
        <v>27</v>
      </c>
      <c r="J7" s="31" t="s">
        <v>28</v>
      </c>
      <c r="K7" s="31" t="s">
        <v>29</v>
      </c>
      <c r="L7" s="31" t="s">
        <v>81</v>
      </c>
      <c r="M7" s="31" t="s">
        <v>20</v>
      </c>
      <c r="N7" s="31" t="s">
        <v>30</v>
      </c>
      <c r="O7" s="36" t="s">
        <v>31</v>
      </c>
    </row>
    <row r="8" spans="1:15" x14ac:dyDescent="0.25">
      <c r="A8" s="8" t="s">
        <v>32</v>
      </c>
      <c r="B8" s="7" t="s">
        <v>37</v>
      </c>
      <c r="C8" s="7" t="s">
        <v>43</v>
      </c>
      <c r="D8" s="12">
        <v>34.860000610351563</v>
      </c>
      <c r="E8" s="28">
        <v>34.919998168945313</v>
      </c>
      <c r="F8" s="22">
        <f>IFERROR(SUMIF(Buy_Transactions!C:C,B8,Buy_Transactions!E:E)-SUMIF(Sell_Transactions!C:C,B8,Sell_Transactions!E:E),"Error")</f>
        <v>200</v>
      </c>
      <c r="G8" s="12">
        <f>IFERROR(SUMIF(Buy_Transactions!C:C, B8, Buy_Transactions!H:H), "Error")</f>
        <v>4547</v>
      </c>
      <c r="H8" s="12">
        <f>IF(F8=0, 0, G8/F8)</f>
        <v>22.734999999999999</v>
      </c>
      <c r="I8" s="12">
        <f>(D8-H8)*F8</f>
        <v>2425.0001220703125</v>
      </c>
      <c r="J8" s="23">
        <f>IF(G8=0, 0, I8/G8)</f>
        <v>0.53331869849797942</v>
      </c>
      <c r="K8" s="12" cm="1">
        <f t="array" ref="K8">IFERROR(SUMPRODUCT(--(Sell_Transactions!C:C=B8), Sell_Transactions!J:J), "Error")</f>
        <v>0</v>
      </c>
      <c r="L8" s="12">
        <v>0</v>
      </c>
      <c r="M8" s="12">
        <v>564</v>
      </c>
      <c r="N8" s="12">
        <f>I8+K8+M8</f>
        <v>2989.0001220703125</v>
      </c>
      <c r="O8" s="25">
        <f t="shared" ref="O8:O16" si="1">D8*F8</f>
        <v>6972.0001220703125</v>
      </c>
    </row>
    <row r="9" spans="1:15" x14ac:dyDescent="0.25">
      <c r="A9" s="8" t="s">
        <v>33</v>
      </c>
      <c r="B9" s="7" t="s">
        <v>38</v>
      </c>
      <c r="C9" s="7" t="s">
        <v>43</v>
      </c>
      <c r="D9" s="12">
        <v>13.010000228881836</v>
      </c>
      <c r="E9" s="12">
        <v>13.149999618530273</v>
      </c>
      <c r="F9" s="7">
        <f>IFERROR(SUMIF(Buy_Transactions!C:C,B9,Buy_Transactions!E:E)-SUMIF(Sell_Transactions!C:C,B9,Sell_Transactions!E:E),"Error")</f>
        <v>300</v>
      </c>
      <c r="G9" s="12">
        <f>IFERROR(SUMIF(Buy_Transactions!C:C, B9, Buy_Transactions!H:H), "Error")</f>
        <v>2707</v>
      </c>
      <c r="H9" s="12">
        <f t="shared" ref="H9:H16" si="2">IF(F9=0, 0, G9/F9)</f>
        <v>9.0233333333333334</v>
      </c>
      <c r="I9" s="12">
        <f t="shared" ref="I9:I16" si="3">(D9-H9)*F9</f>
        <v>1196.0000686645508</v>
      </c>
      <c r="J9" s="23">
        <f t="shared" ref="J9:J16" si="4">IF(G9=0, 0, I9/G9)</f>
        <v>0.44181753552440001</v>
      </c>
      <c r="K9" s="12" cm="1">
        <f t="array" ref="K9">IFERROR(SUMPRODUCT(--(Sell_Transactions!C:C=B9), Sell_Transactions!J:J), "Error")</f>
        <v>0</v>
      </c>
      <c r="L9" s="12">
        <v>0</v>
      </c>
      <c r="M9" s="12">
        <v>338.40000000000003</v>
      </c>
      <c r="N9" s="12">
        <f t="shared" ref="N9:N16" si="5">I9+K9+M9</f>
        <v>1534.4000686645509</v>
      </c>
      <c r="O9" s="25">
        <f t="shared" si="1"/>
        <v>3903.0000686645508</v>
      </c>
    </row>
    <row r="10" spans="1:15" x14ac:dyDescent="0.25">
      <c r="A10" s="8" t="s">
        <v>66</v>
      </c>
      <c r="B10" s="7" t="s">
        <v>67</v>
      </c>
      <c r="C10" s="7" t="s">
        <v>43</v>
      </c>
      <c r="D10" s="12">
        <v>0</v>
      </c>
      <c r="E10" s="12">
        <v>0</v>
      </c>
      <c r="F10" s="7">
        <f>IFERROR(SUMIF(Buy_Transactions!C:C,B10,Buy_Transactions!E:E)-SUMIF(Sell_Transactions!C:C,B10,Sell_Transactions!E:E),"Error")</f>
        <v>0</v>
      </c>
      <c r="G10" s="12">
        <f>IFERROR(SUMIF(Buy_Transactions!C:C, B10, Buy_Transactions!H:H), "Error")</f>
        <v>2971.5</v>
      </c>
      <c r="H10" s="12">
        <f t="shared" si="2"/>
        <v>0</v>
      </c>
      <c r="I10" s="12">
        <f t="shared" si="3"/>
        <v>0</v>
      </c>
      <c r="J10" s="23">
        <f t="shared" si="4"/>
        <v>0</v>
      </c>
      <c r="K10" s="12" cm="1">
        <f t="array" ref="K10">IFERROR(SUMPRODUCT(--(Sell_Transactions!C:C=B10), Sell_Transactions!J:J), "Error")</f>
        <v>613.20000000000027</v>
      </c>
      <c r="L10" s="12">
        <v>0</v>
      </c>
      <c r="M10" s="12">
        <v>354.69</v>
      </c>
      <c r="N10" s="12">
        <f t="shared" si="5"/>
        <v>967.89000000000033</v>
      </c>
      <c r="O10" s="25">
        <f t="shared" si="1"/>
        <v>0</v>
      </c>
    </row>
    <row r="11" spans="1:15" x14ac:dyDescent="0.25">
      <c r="A11" s="8" t="s">
        <v>34</v>
      </c>
      <c r="B11" s="7" t="s">
        <v>39</v>
      </c>
      <c r="C11" s="7" t="s">
        <v>43</v>
      </c>
      <c r="D11" s="12">
        <v>2.2899999618530273</v>
      </c>
      <c r="E11" s="12">
        <v>2.309999942779541</v>
      </c>
      <c r="F11" s="7">
        <f>IFERROR(SUMIF(Buy_Transactions!C:C,B11,Buy_Transactions!E:E)-SUMIF(Sell_Transactions!C:C,B11,Sell_Transactions!E:E),"Error")</f>
        <v>1500</v>
      </c>
      <c r="G11" s="12">
        <f>IFERROR(SUMIF(Buy_Transactions!C:C, B11, Buy_Transactions!H:H), "Error")</f>
        <v>4030.58</v>
      </c>
      <c r="H11" s="12">
        <f t="shared" si="2"/>
        <v>2.6870533333333331</v>
      </c>
      <c r="I11" s="12">
        <f t="shared" si="3"/>
        <v>-595.58005722045857</v>
      </c>
      <c r="J11" s="23">
        <f t="shared" si="4"/>
        <v>-0.14776534821798812</v>
      </c>
      <c r="K11" s="12" cm="1">
        <f t="array" ref="K11">IFERROR(SUMPRODUCT(--(Sell_Transactions!C:C=B11), Sell_Transactions!J:J), "Error")</f>
        <v>0</v>
      </c>
      <c r="L11" s="12">
        <v>0</v>
      </c>
      <c r="M11" s="12">
        <v>333.2783</v>
      </c>
      <c r="N11" s="12">
        <f t="shared" si="5"/>
        <v>-262.30175722045857</v>
      </c>
      <c r="O11" s="25">
        <f t="shared" si="1"/>
        <v>3434.999942779541</v>
      </c>
    </row>
    <row r="12" spans="1:15" x14ac:dyDescent="0.25">
      <c r="A12" s="8" t="s">
        <v>35</v>
      </c>
      <c r="B12" s="7" t="s">
        <v>40</v>
      </c>
      <c r="C12" s="7" t="s">
        <v>43</v>
      </c>
      <c r="D12" s="12">
        <v>1.6599999666213989</v>
      </c>
      <c r="E12" s="12">
        <v>1.6799999475479126</v>
      </c>
      <c r="F12" s="7">
        <f>IFERROR(SUMIF(Buy_Transactions!C:C,B12,Buy_Transactions!E:E)-SUMIF(Sell_Transactions!C:C,B12,Sell_Transactions!E:E),"Error")</f>
        <v>1200</v>
      </c>
      <c r="G12" s="12">
        <f>IFERROR(SUMIF(Buy_Transactions!C:C, B12, Buy_Transactions!H:H), "Error")</f>
        <v>2254</v>
      </c>
      <c r="H12" s="12">
        <f t="shared" si="2"/>
        <v>1.8783333333333334</v>
      </c>
      <c r="I12" s="12">
        <f t="shared" si="3"/>
        <v>-262.0000400543214</v>
      </c>
      <c r="J12" s="23">
        <f t="shared" si="4"/>
        <v>-0.11623781723794206</v>
      </c>
      <c r="K12" s="12" cm="1">
        <f t="array" ref="K12">IFERROR(SUMPRODUCT(--(Sell_Transactions!C:C=B12), Sell_Transactions!J:J), "Error")</f>
        <v>0</v>
      </c>
      <c r="L12" s="12">
        <v>0</v>
      </c>
      <c r="M12" s="12">
        <v>169.88400000000001</v>
      </c>
      <c r="N12" s="12">
        <f t="shared" si="5"/>
        <v>-92.116040054321388</v>
      </c>
      <c r="O12" s="25">
        <f t="shared" si="1"/>
        <v>1991.9999599456787</v>
      </c>
    </row>
    <row r="13" spans="1:15" x14ac:dyDescent="0.25">
      <c r="A13" s="8" t="s">
        <v>36</v>
      </c>
      <c r="B13" s="7" t="s">
        <v>41</v>
      </c>
      <c r="C13" s="7" t="s">
        <v>43</v>
      </c>
      <c r="D13" s="12">
        <v>1.7300000190734863</v>
      </c>
      <c r="E13" s="12">
        <v>1.7300000190734863</v>
      </c>
      <c r="F13" s="7">
        <f>IFERROR(SUMIF(Buy_Transactions!C:C,B13,Buy_Transactions!E:E)-SUMIF(Sell_Transactions!C:C,B13,Sell_Transactions!E:E),"Error")</f>
        <v>1500</v>
      </c>
      <c r="G13" s="12">
        <f>IFERROR(SUMIF(Buy_Transactions!C:C, B13, Buy_Transactions!H:H), "Error")</f>
        <v>2905</v>
      </c>
      <c r="H13" s="12">
        <f t="shared" si="2"/>
        <v>1.9366666666666668</v>
      </c>
      <c r="I13" s="12">
        <f t="shared" si="3"/>
        <v>-309.99997138977062</v>
      </c>
      <c r="J13" s="23">
        <f t="shared" si="4"/>
        <v>-0.10671255469527388</v>
      </c>
      <c r="K13" s="12" cm="1">
        <f t="array" ref="K13">IFERROR(SUMPRODUCT(--(Sell_Transactions!C:C=B13), Sell_Transactions!J:J), "Error")</f>
        <v>0</v>
      </c>
      <c r="L13" s="12">
        <v>0</v>
      </c>
      <c r="M13" s="12">
        <v>64.8</v>
      </c>
      <c r="N13" s="12">
        <f t="shared" si="5"/>
        <v>-245.19997138977061</v>
      </c>
      <c r="O13" s="25">
        <f t="shared" si="1"/>
        <v>2595.0000286102295</v>
      </c>
    </row>
    <row r="14" spans="1:15" x14ac:dyDescent="0.25">
      <c r="A14" s="8" t="s">
        <v>46</v>
      </c>
      <c r="B14" s="7" t="s">
        <v>48</v>
      </c>
      <c r="C14" s="7" t="s">
        <v>44</v>
      </c>
      <c r="D14" s="12">
        <v>4.1999998092651367</v>
      </c>
      <c r="E14" s="12">
        <v>4.3000001907348633</v>
      </c>
      <c r="F14" s="7">
        <f>IFERROR(SUMIF(Buy_Transactions!C:C,B14,Buy_Transactions!E:E)-SUMIF(Sell_Transactions!C:C,B14,Sell_Transactions!E:E),"Error")</f>
        <v>4000</v>
      </c>
      <c r="G14" s="12">
        <f>IFERROR(SUMIF(Buy_Transactions!C:C, B14, Buy_Transactions!H:H), "Error")</f>
        <v>11260</v>
      </c>
      <c r="H14" s="12">
        <f t="shared" si="2"/>
        <v>2.8149999999999999</v>
      </c>
      <c r="I14" s="12">
        <f t="shared" si="3"/>
        <v>5539.9992370605469</v>
      </c>
      <c r="J14" s="23">
        <f t="shared" si="4"/>
        <v>0.49200703703912496</v>
      </c>
      <c r="K14" s="12" cm="1">
        <f t="array" ref="K14">IFERROR(SUMPRODUCT(--(Sell_Transactions!C:C=B14), Sell_Transactions!J:J), "Error")</f>
        <v>0</v>
      </c>
      <c r="L14" s="12">
        <f>30+30+33.3+32.95+32.44+32.72</f>
        <v>191.41</v>
      </c>
      <c r="M14" s="12">
        <v>4200.59</v>
      </c>
      <c r="N14" s="12">
        <f t="shared" si="5"/>
        <v>9740.589237060547</v>
      </c>
      <c r="O14" s="25">
        <f t="shared" si="1"/>
        <v>16799.999237060547</v>
      </c>
    </row>
    <row r="15" spans="1:15" x14ac:dyDescent="0.25">
      <c r="A15" s="8" t="s">
        <v>47</v>
      </c>
      <c r="B15" s="7" t="s">
        <v>49</v>
      </c>
      <c r="C15" s="7" t="s">
        <v>44</v>
      </c>
      <c r="D15" s="12">
        <v>2.940000057220459</v>
      </c>
      <c r="E15" s="12">
        <v>2.9500000476837158</v>
      </c>
      <c r="F15" s="7">
        <f>IFERROR(SUMIF(Buy_Transactions!C:C,B15,Buy_Transactions!E:E)-SUMIF(Sell_Transactions!C:C,B15,Sell_Transactions!E:E),"Error")</f>
        <v>6000</v>
      </c>
      <c r="G15" s="12">
        <f>IFERROR(SUMIF(Buy_Transactions!C:C, B15, Buy_Transactions!H:H), "Error")</f>
        <v>18165</v>
      </c>
      <c r="H15" s="12">
        <f t="shared" si="2"/>
        <v>3.0274999999999999</v>
      </c>
      <c r="I15" s="12">
        <f t="shared" si="3"/>
        <v>-524.99965667724518</v>
      </c>
      <c r="J15" s="23">
        <f t="shared" si="4"/>
        <v>-2.890171520381201E-2</v>
      </c>
      <c r="K15" s="12" cm="1">
        <f t="array" ref="K15">IFERROR(SUMPRODUCT(--(Sell_Transactions!C:C=B15), Sell_Transactions!J:J), "Error")</f>
        <v>0</v>
      </c>
      <c r="L15" s="12">
        <f>83.05+39.78</f>
        <v>122.83</v>
      </c>
      <c r="M15" s="12">
        <v>1905.9220000000003</v>
      </c>
      <c r="N15" s="12">
        <f t="shared" si="5"/>
        <v>1380.9223433227551</v>
      </c>
      <c r="O15" s="25">
        <f t="shared" si="1"/>
        <v>17640.000343322754</v>
      </c>
    </row>
    <row r="16" spans="1:15" ht="16.5" thickBot="1" x14ac:dyDescent="0.3">
      <c r="A16" s="9" t="s">
        <v>50</v>
      </c>
      <c r="B16" s="10" t="s">
        <v>51</v>
      </c>
      <c r="C16" s="10" t="s">
        <v>45</v>
      </c>
      <c r="D16" s="21">
        <v>4.8299999237060547</v>
      </c>
      <c r="E16" s="21">
        <v>4.8400001525878906</v>
      </c>
      <c r="F16" s="10">
        <f>IFERROR(SUMIF(Buy_Transactions!C:C,B16,Buy_Transactions!E:E)-SUMIF(Sell_Transactions!C:C,B16,Sell_Transactions!E:E),"Error")</f>
        <v>200</v>
      </c>
      <c r="G16" s="21">
        <f>IFERROR(SUMIF(Buy_Transactions!C:C, B16, Buy_Transactions!H:H), "Error")</f>
        <v>813</v>
      </c>
      <c r="H16" s="21">
        <f t="shared" si="2"/>
        <v>4.0650000000000004</v>
      </c>
      <c r="I16" s="21">
        <f t="shared" si="3"/>
        <v>152.99998474121085</v>
      </c>
      <c r="J16" s="24">
        <f t="shared" si="4"/>
        <v>0.18819186315032085</v>
      </c>
      <c r="K16" s="21" cm="1">
        <f t="array" ref="K16">IFERROR(SUMPRODUCT(--(Sell_Transactions!C:C=B16), Sell_Transactions!J:J), "Error")</f>
        <v>0</v>
      </c>
      <c r="L16" s="21">
        <v>0</v>
      </c>
      <c r="M16" s="21">
        <v>100</v>
      </c>
      <c r="N16" s="21">
        <f t="shared" si="5"/>
        <v>252.99998474121085</v>
      </c>
      <c r="O16" s="26">
        <f t="shared" si="1"/>
        <v>965.99998474121094</v>
      </c>
    </row>
    <row r="17" spans="1:15" ht="16.5" thickBot="1" x14ac:dyDescent="0.3">
      <c r="A17" s="48" t="s">
        <v>82</v>
      </c>
      <c r="B17" s="47" t="s">
        <v>83</v>
      </c>
      <c r="C17" s="47" t="s">
        <v>43</v>
      </c>
      <c r="D17" s="21">
        <v>0</v>
      </c>
      <c r="E17" s="21">
        <v>0</v>
      </c>
      <c r="F17" s="10">
        <f>IFERROR(SUMIF(Buy_Transactions!C:C,B17,Buy_Transactions!E:E)-SUMIF(Sell_Transactions!C:C,B17,Sell_Transactions!E:E),"Error")</f>
        <v>300</v>
      </c>
      <c r="G17" s="21">
        <f>IFERROR(SUMIF(Buy_Transactions!C:C, B17, Buy_Transactions!H:H), "Error")</f>
        <v>259</v>
      </c>
      <c r="H17" s="21">
        <f t="shared" ref="H17" si="6">IF(F17=0, 0, G17/F17)</f>
        <v>0.86333333333333329</v>
      </c>
      <c r="I17" s="21">
        <f t="shared" ref="I17" si="7">(D17-H17)*F17</f>
        <v>-259</v>
      </c>
      <c r="J17" s="24">
        <f t="shared" ref="J17" si="8">IF(G17=0, 0, I17/G17)</f>
        <v>-1</v>
      </c>
      <c r="K17" s="21" cm="1">
        <f t="array" ref="K17">IFERROR(SUMPRODUCT(--(Sell_Transactions!C:C=B17), Sell_Transactions!J:J), "Error")</f>
        <v>0</v>
      </c>
      <c r="L17" s="21">
        <v>0</v>
      </c>
      <c r="M17" s="21">
        <v>100</v>
      </c>
      <c r="N17" s="21">
        <f t="shared" ref="N17" si="9">I17+K17+M17</f>
        <v>-159</v>
      </c>
      <c r="O17" s="26">
        <f t="shared" ref="O17" si="10">D17*F17</f>
        <v>0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Call">
                <anchor moveWithCells="1" sizeWithCells="1">
                  <from>
                    <xdr:col>9</xdr:col>
                    <xdr:colOff>85725</xdr:colOff>
                    <xdr:row>1</xdr:row>
                    <xdr:rowOff>66675</xdr:rowOff>
                  </from>
                  <to>
                    <xdr:col>10</xdr:col>
                    <xdr:colOff>561975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6A65D-9B63-4FBC-92F4-31378B070DC7}"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40E7E-18A3-4254-991F-52BA05482A22}">
  <sheetPr codeName="Sheet3"/>
  <dimension ref="A1:L43"/>
  <sheetViews>
    <sheetView zoomScale="85" zoomScaleNormal="85" workbookViewId="0">
      <selection activeCell="L23" sqref="L23"/>
    </sheetView>
  </sheetViews>
  <sheetFormatPr defaultRowHeight="15.75" x14ac:dyDescent="0.25"/>
  <cols>
    <col min="1" max="1" width="14.875" style="4" bestFit="1" customWidth="1"/>
    <col min="2" max="2" width="22.75" bestFit="1" customWidth="1"/>
    <col min="3" max="4" width="14.875" customWidth="1"/>
    <col min="5" max="5" width="14.75" style="4" bestFit="1" customWidth="1"/>
    <col min="6" max="6" width="14.5" style="13" bestFit="1" customWidth="1"/>
    <col min="7" max="7" width="9" style="13"/>
    <col min="8" max="8" width="10.375" style="14" bestFit="1" customWidth="1"/>
    <col min="9" max="9" width="7.75" style="14" bestFit="1" customWidth="1"/>
    <col min="10" max="10" width="15.375" style="14" bestFit="1" customWidth="1"/>
    <col min="11" max="11" width="10.5" style="14" customWidth="1"/>
    <col min="12" max="12" width="17.75" customWidth="1"/>
    <col min="13" max="13" width="12.25" customWidth="1"/>
    <col min="14" max="14" width="15.875" bestFit="1" customWidth="1"/>
    <col min="15" max="15" width="17.25" customWidth="1"/>
  </cols>
  <sheetData>
    <row r="1" spans="1:12" x14ac:dyDescent="0.25">
      <c r="A1" s="4" t="s">
        <v>52</v>
      </c>
    </row>
    <row r="2" spans="1:12" ht="31.5" x14ac:dyDescent="0.25">
      <c r="A2" s="16" t="s">
        <v>53</v>
      </c>
      <c r="B2" s="16" t="s">
        <v>24</v>
      </c>
      <c r="C2" s="16" t="s">
        <v>58</v>
      </c>
      <c r="D2" s="17" t="s">
        <v>63</v>
      </c>
      <c r="E2" s="16" t="s">
        <v>54</v>
      </c>
      <c r="F2" s="18" t="s">
        <v>55</v>
      </c>
      <c r="G2" s="18" t="s">
        <v>56</v>
      </c>
      <c r="H2" s="19" t="s">
        <v>57</v>
      </c>
      <c r="I2" s="27" t="s">
        <v>80</v>
      </c>
      <c r="J2" s="27" t="s">
        <v>78</v>
      </c>
      <c r="K2" s="27" t="s">
        <v>79</v>
      </c>
      <c r="L2" s="16" t="s">
        <v>64</v>
      </c>
    </row>
    <row r="3" spans="1:12" x14ac:dyDescent="0.25">
      <c r="A3" s="20">
        <v>43986</v>
      </c>
      <c r="B3" s="3" t="s">
        <v>32</v>
      </c>
      <c r="C3" s="7" t="s">
        <v>37</v>
      </c>
      <c r="D3" s="7" t="s">
        <v>43</v>
      </c>
      <c r="E3" s="7">
        <v>200</v>
      </c>
      <c r="F3" s="12">
        <v>22.61</v>
      </c>
      <c r="G3" s="12">
        <v>25</v>
      </c>
      <c r="H3" s="12">
        <f>E3*F3+G3</f>
        <v>4547</v>
      </c>
      <c r="I3" s="15" cm="1">
        <f t="array" ref="I3">MAX(IF($C$2:$C2=C3,ROW($C$2:$C2)))</f>
        <v>0</v>
      </c>
      <c r="J3" s="15" cm="1">
        <f t="array" aca="1" ref="J3" ca="1">IF(I3=0, 0, INDIRECT("K"&amp;I3))</f>
        <v>0</v>
      </c>
      <c r="K3" s="15">
        <f ca="1">J3+E3</f>
        <v>200</v>
      </c>
      <c r="L3" s="3"/>
    </row>
    <row r="4" spans="1:12" x14ac:dyDescent="0.25">
      <c r="A4" s="20">
        <v>44007</v>
      </c>
      <c r="B4" s="3" t="s">
        <v>33</v>
      </c>
      <c r="C4" s="7" t="s">
        <v>38</v>
      </c>
      <c r="D4" s="7" t="s">
        <v>43</v>
      </c>
      <c r="E4" s="7">
        <v>300</v>
      </c>
      <c r="F4" s="12">
        <v>8.94</v>
      </c>
      <c r="G4" s="12">
        <v>25</v>
      </c>
      <c r="H4" s="12">
        <f t="shared" ref="H4:H18" si="0">E4*F4+G4</f>
        <v>2707</v>
      </c>
      <c r="I4" s="15" cm="1">
        <f t="array" ref="I4">MAX(IF($C$2:$C3=C4,ROW($C$2:$C3)))</f>
        <v>0</v>
      </c>
      <c r="J4" s="15" cm="1">
        <f t="array" aca="1" ref="J4" ca="1">IF(I4=0, 0, INDIRECT("K"&amp;I4))</f>
        <v>0</v>
      </c>
      <c r="K4" s="15">
        <f t="shared" ref="K4:K18" ca="1" si="1">J4+E4</f>
        <v>300</v>
      </c>
      <c r="L4" s="3"/>
    </row>
    <row r="5" spans="1:12" x14ac:dyDescent="0.25">
      <c r="A5" s="20">
        <v>44008</v>
      </c>
      <c r="B5" s="3" t="s">
        <v>34</v>
      </c>
      <c r="C5" s="7" t="s">
        <v>39</v>
      </c>
      <c r="D5" s="7" t="s">
        <v>43</v>
      </c>
      <c r="E5" s="7">
        <v>400</v>
      </c>
      <c r="F5" s="12">
        <v>2.95</v>
      </c>
      <c r="G5" s="12">
        <v>12</v>
      </c>
      <c r="H5" s="12">
        <f t="shared" si="0"/>
        <v>1192</v>
      </c>
      <c r="I5" s="15" cm="1">
        <f t="array" ref="I5">MAX(IF($C$2:$C4=C5,ROW($C$2:$C4)))</f>
        <v>0</v>
      </c>
      <c r="J5" s="15" cm="1">
        <f t="array" aca="1" ref="J5" ca="1">IF(I5=0, 0, INDIRECT("K"&amp;I5))</f>
        <v>0</v>
      </c>
      <c r="K5" s="15">
        <f t="shared" ca="1" si="1"/>
        <v>400</v>
      </c>
      <c r="L5" s="3"/>
    </row>
    <row r="6" spans="1:12" x14ac:dyDescent="0.25">
      <c r="A6" s="20">
        <v>44008</v>
      </c>
      <c r="B6" s="3" t="s">
        <v>35</v>
      </c>
      <c r="C6" s="7" t="s">
        <v>40</v>
      </c>
      <c r="D6" s="7" t="s">
        <v>43</v>
      </c>
      <c r="E6" s="7">
        <v>600</v>
      </c>
      <c r="F6" s="12">
        <v>1.95</v>
      </c>
      <c r="G6" s="12">
        <v>12</v>
      </c>
      <c r="H6" s="12">
        <f t="shared" si="0"/>
        <v>1182</v>
      </c>
      <c r="I6" s="15" cm="1">
        <f t="array" ref="I6">MAX(IF($C$2:$C5=C6,ROW($C$2:$C5)))</f>
        <v>0</v>
      </c>
      <c r="J6" s="15" cm="1">
        <f t="array" aca="1" ref="J6" ca="1">IF(I6=0, 0, INDIRECT("K"&amp;I6))</f>
        <v>0</v>
      </c>
      <c r="K6" s="15">
        <f t="shared" ca="1" si="1"/>
        <v>600</v>
      </c>
      <c r="L6" s="3"/>
    </row>
    <row r="7" spans="1:12" x14ac:dyDescent="0.25">
      <c r="A7" s="20">
        <v>44012</v>
      </c>
      <c r="B7" s="3" t="s">
        <v>66</v>
      </c>
      <c r="C7" s="7" t="s">
        <v>67</v>
      </c>
      <c r="D7" s="7" t="s">
        <v>43</v>
      </c>
      <c r="E7" s="7">
        <v>1500</v>
      </c>
      <c r="F7" s="12">
        <v>0.93500000000000005</v>
      </c>
      <c r="G7" s="12">
        <v>12</v>
      </c>
      <c r="H7" s="12">
        <f t="shared" si="0"/>
        <v>1414.5</v>
      </c>
      <c r="I7" s="15" cm="1">
        <f t="array" ref="I7">MAX(IF($C$2:$C6=C7,ROW($C$2:$C6)))</f>
        <v>0</v>
      </c>
      <c r="J7" s="15" cm="1">
        <f t="array" aca="1" ref="J7" ca="1">IF(I7=0, 0, INDIRECT("K"&amp;I7))</f>
        <v>0</v>
      </c>
      <c r="K7" s="15">
        <f t="shared" ca="1" si="1"/>
        <v>1500</v>
      </c>
      <c r="L7" s="3"/>
    </row>
    <row r="8" spans="1:12" x14ac:dyDescent="0.25">
      <c r="A8" s="20">
        <v>44027</v>
      </c>
      <c r="B8" s="3" t="s">
        <v>50</v>
      </c>
      <c r="C8" s="7" t="s">
        <v>51</v>
      </c>
      <c r="D8" s="7" t="s">
        <v>45</v>
      </c>
      <c r="E8" s="15">
        <v>200</v>
      </c>
      <c r="F8" s="12">
        <v>3.99</v>
      </c>
      <c r="G8" s="12">
        <v>15</v>
      </c>
      <c r="H8" s="12">
        <f t="shared" si="0"/>
        <v>813</v>
      </c>
      <c r="I8" s="15" cm="1">
        <f t="array" ref="I8">MAX(IF($C$2:$C7=C8,ROW($C$2:$C7)))</f>
        <v>0</v>
      </c>
      <c r="J8" s="15" cm="1">
        <f t="array" aca="1" ref="J8" ca="1">IF(I8=0, 0, INDIRECT("K"&amp;I8))</f>
        <v>0</v>
      </c>
      <c r="K8" s="15">
        <f t="shared" ca="1" si="1"/>
        <v>200</v>
      </c>
      <c r="L8" s="3"/>
    </row>
    <row r="9" spans="1:12" x14ac:dyDescent="0.25">
      <c r="A9" s="20">
        <v>44028</v>
      </c>
      <c r="B9" s="3" t="s">
        <v>59</v>
      </c>
      <c r="C9" s="7" t="s">
        <v>48</v>
      </c>
      <c r="D9" s="7" t="s">
        <v>44</v>
      </c>
      <c r="E9" s="7">
        <v>4000</v>
      </c>
      <c r="F9" s="12">
        <v>2.79</v>
      </c>
      <c r="G9" s="12">
        <v>100</v>
      </c>
      <c r="H9" s="12">
        <f t="shared" si="0"/>
        <v>11260</v>
      </c>
      <c r="I9" s="15" cm="1">
        <f t="array" ref="I9">MAX(IF($C$2:$C8=C9,ROW($C$2:$C8)))</f>
        <v>0</v>
      </c>
      <c r="J9" s="15" cm="1">
        <f t="array" aca="1" ref="J9" ca="1">IF(I9=0, 0, INDIRECT("K"&amp;I9))</f>
        <v>0</v>
      </c>
      <c r="K9" s="15">
        <f t="shared" ca="1" si="1"/>
        <v>4000</v>
      </c>
      <c r="L9" s="3"/>
    </row>
    <row r="10" spans="1:12" x14ac:dyDescent="0.25">
      <c r="A10" s="20">
        <v>44253</v>
      </c>
      <c r="B10" s="3" t="s">
        <v>34</v>
      </c>
      <c r="C10" s="7" t="s">
        <v>39</v>
      </c>
      <c r="D10" s="7" t="s">
        <v>43</v>
      </c>
      <c r="E10" s="7">
        <v>300</v>
      </c>
      <c r="F10" s="12">
        <v>2.65</v>
      </c>
      <c r="G10" s="12">
        <v>12</v>
      </c>
      <c r="H10" s="12">
        <f t="shared" si="0"/>
        <v>807</v>
      </c>
      <c r="I10" s="15" cm="1">
        <f t="array" ref="I10">MAX(IF($C$2:$C9=C10,ROW($C$2:$C9)))</f>
        <v>5</v>
      </c>
      <c r="J10" s="15" cm="1">
        <f t="array" aca="1" ref="J10" ca="1">IF(I10=0, 0, INDIRECT("K"&amp;I10))</f>
        <v>400</v>
      </c>
      <c r="K10" s="15">
        <f t="shared" ca="1" si="1"/>
        <v>700</v>
      </c>
      <c r="L10" s="3"/>
    </row>
    <row r="11" spans="1:12" x14ac:dyDescent="0.25">
      <c r="A11" s="20">
        <v>44315</v>
      </c>
      <c r="B11" s="3" t="s">
        <v>47</v>
      </c>
      <c r="C11" s="7" t="s">
        <v>49</v>
      </c>
      <c r="D11" s="7" t="s">
        <v>44</v>
      </c>
      <c r="E11" s="7">
        <v>2000</v>
      </c>
      <c r="F11" s="12">
        <v>3.15</v>
      </c>
      <c r="G11" s="12">
        <v>95</v>
      </c>
      <c r="H11" s="12">
        <f t="shared" si="0"/>
        <v>6395</v>
      </c>
      <c r="I11" s="15" cm="1">
        <f t="array" ref="I11">MAX(IF($C$2:$C10=C11,ROW($C$2:$C10)))</f>
        <v>0</v>
      </c>
      <c r="J11" s="15" cm="1">
        <f t="array" aca="1" ref="J11" ca="1">IF(I11=0, 0, INDIRECT("K"&amp;I11))</f>
        <v>0</v>
      </c>
      <c r="K11" s="15">
        <f t="shared" ca="1" si="1"/>
        <v>2000</v>
      </c>
      <c r="L11" s="3"/>
    </row>
    <row r="12" spans="1:12" x14ac:dyDescent="0.25">
      <c r="A12" s="20">
        <v>44344</v>
      </c>
      <c r="B12" s="3" t="s">
        <v>66</v>
      </c>
      <c r="C12" s="7" t="s">
        <v>67</v>
      </c>
      <c r="D12" s="7" t="s">
        <v>43</v>
      </c>
      <c r="E12" s="7">
        <v>1500</v>
      </c>
      <c r="F12" s="12">
        <v>1.03</v>
      </c>
      <c r="G12" s="12">
        <v>12</v>
      </c>
      <c r="H12" s="12">
        <f t="shared" si="0"/>
        <v>1557</v>
      </c>
      <c r="I12" s="15" cm="1">
        <f t="array" ref="I12">MAX(IF($C$2:$C11=C12,ROW($C$2:$C11)))</f>
        <v>7</v>
      </c>
      <c r="J12" s="15" cm="1">
        <f t="array" aca="1" ref="J12" ca="1">IF(I12=0, 0, INDIRECT("K"&amp;I12))</f>
        <v>1500</v>
      </c>
      <c r="K12" s="15">
        <f t="shared" ca="1" si="1"/>
        <v>3000</v>
      </c>
      <c r="L12" s="3"/>
    </row>
    <row r="13" spans="1:12" x14ac:dyDescent="0.25">
      <c r="A13" s="20">
        <v>44344</v>
      </c>
      <c r="B13" s="3" t="s">
        <v>47</v>
      </c>
      <c r="C13" s="7" t="s">
        <v>49</v>
      </c>
      <c r="D13" s="7" t="s">
        <v>44</v>
      </c>
      <c r="E13" s="7">
        <v>2000</v>
      </c>
      <c r="F13" s="12">
        <v>2.95</v>
      </c>
      <c r="G13" s="12">
        <v>95</v>
      </c>
      <c r="H13" s="12">
        <f t="shared" si="0"/>
        <v>5995</v>
      </c>
      <c r="I13" s="15" cm="1">
        <f t="array" ref="I13">MAX(IF($C$2:$C12=C13,ROW($C$2:$C12)))</f>
        <v>11</v>
      </c>
      <c r="J13" s="15" cm="1">
        <f t="array" aca="1" ref="J13" ca="1">IF(I13=0, 0, INDIRECT("K"&amp;I13))</f>
        <v>2000</v>
      </c>
      <c r="K13" s="15">
        <f t="shared" ca="1" si="1"/>
        <v>4000</v>
      </c>
      <c r="L13" s="3"/>
    </row>
    <row r="14" spans="1:12" x14ac:dyDescent="0.25">
      <c r="A14" s="20">
        <v>44356</v>
      </c>
      <c r="B14" s="3" t="s">
        <v>47</v>
      </c>
      <c r="C14" s="7" t="s">
        <v>49</v>
      </c>
      <c r="D14" s="7" t="s">
        <v>44</v>
      </c>
      <c r="E14" s="7">
        <v>2000</v>
      </c>
      <c r="F14" s="12">
        <v>2.84</v>
      </c>
      <c r="G14" s="12">
        <v>95</v>
      </c>
      <c r="H14" s="12">
        <f t="shared" si="0"/>
        <v>5775</v>
      </c>
      <c r="I14" s="15" cm="1">
        <f t="array" ref="I14">MAX(IF($C$2:$C13=C14,ROW($C$2:$C13)))</f>
        <v>13</v>
      </c>
      <c r="J14" s="15" cm="1">
        <f t="array" aca="1" ref="J14" ca="1">IF(I14=0, 0, INDIRECT("K"&amp;I14))</f>
        <v>4000</v>
      </c>
      <c r="K14" s="15">
        <f t="shared" ca="1" si="1"/>
        <v>6000</v>
      </c>
      <c r="L14" s="3"/>
    </row>
    <row r="15" spans="1:12" x14ac:dyDescent="0.25">
      <c r="A15" s="20">
        <v>44368</v>
      </c>
      <c r="B15" s="3" t="s">
        <v>34</v>
      </c>
      <c r="C15" s="7" t="s">
        <v>39</v>
      </c>
      <c r="D15" s="7" t="s">
        <v>43</v>
      </c>
      <c r="E15" s="7">
        <v>200</v>
      </c>
      <c r="F15" s="12">
        <v>2.64</v>
      </c>
      <c r="G15" s="12">
        <v>0</v>
      </c>
      <c r="H15" s="12">
        <f t="shared" si="0"/>
        <v>528</v>
      </c>
      <c r="I15" s="15" cm="1">
        <f t="array" ref="I15">MAX(IF($C$2:$C14=C15,ROW($C$2:$C14)))</f>
        <v>10</v>
      </c>
      <c r="J15" s="15" cm="1">
        <f t="array" aca="1" ref="J15" ca="1">IF(I15=0, 0, INDIRECT("K"&amp;I15))</f>
        <v>700</v>
      </c>
      <c r="K15" s="15">
        <f t="shared" ca="1" si="1"/>
        <v>900</v>
      </c>
      <c r="L15" s="3" t="s">
        <v>65</v>
      </c>
    </row>
    <row r="16" spans="1:12" x14ac:dyDescent="0.25">
      <c r="A16" s="20">
        <v>44732</v>
      </c>
      <c r="B16" s="3" t="s">
        <v>34</v>
      </c>
      <c r="C16" s="7" t="s">
        <v>39</v>
      </c>
      <c r="D16" s="7" t="s">
        <v>43</v>
      </c>
      <c r="E16" s="7">
        <v>600</v>
      </c>
      <c r="F16" s="12">
        <v>2.4900000000000002</v>
      </c>
      <c r="G16" s="12">
        <v>9.58</v>
      </c>
      <c r="H16" s="12">
        <f t="shared" si="0"/>
        <v>1503.5800000000002</v>
      </c>
      <c r="I16" s="15" cm="1">
        <f t="array" ref="I16">MAX(IF($C$2:$C15=C16,ROW($C$2:$C15)))</f>
        <v>15</v>
      </c>
      <c r="J16" s="15" cm="1">
        <f t="array" aca="1" ref="J16" ca="1">IF(I16=0, 0, INDIRECT("K"&amp;I16))</f>
        <v>900</v>
      </c>
      <c r="K16" s="15">
        <f t="shared" ca="1" si="1"/>
        <v>1500</v>
      </c>
      <c r="L16" s="3"/>
    </row>
    <row r="17" spans="1:12" x14ac:dyDescent="0.25">
      <c r="A17" s="20">
        <v>44774</v>
      </c>
      <c r="B17" s="11" t="s">
        <v>36</v>
      </c>
      <c r="C17" s="7" t="s">
        <v>41</v>
      </c>
      <c r="D17" s="7" t="s">
        <v>43</v>
      </c>
      <c r="E17" s="7">
        <v>1500</v>
      </c>
      <c r="F17" s="12">
        <v>1.93</v>
      </c>
      <c r="G17" s="12">
        <v>10</v>
      </c>
      <c r="H17" s="12">
        <f t="shared" si="0"/>
        <v>2905</v>
      </c>
      <c r="I17" s="15" cm="1">
        <f t="array" ref="I17">MAX(IF($C$2:$C16=C17,ROW($C$2:$C16)))</f>
        <v>0</v>
      </c>
      <c r="J17" s="15" cm="1">
        <f t="array" aca="1" ref="J17" ca="1">IF(I17=0, 0, INDIRECT("K"&amp;I17))</f>
        <v>0</v>
      </c>
      <c r="K17" s="15">
        <f t="shared" ca="1" si="1"/>
        <v>1500</v>
      </c>
      <c r="L17" s="3"/>
    </row>
    <row r="18" spans="1:12" x14ac:dyDescent="0.25">
      <c r="A18" s="20">
        <v>44774</v>
      </c>
      <c r="B18" s="3" t="s">
        <v>35</v>
      </c>
      <c r="C18" s="7" t="s">
        <v>40</v>
      </c>
      <c r="D18" s="7" t="s">
        <v>43</v>
      </c>
      <c r="E18" s="7">
        <v>600</v>
      </c>
      <c r="F18" s="12">
        <v>1.77</v>
      </c>
      <c r="G18" s="12">
        <v>10</v>
      </c>
      <c r="H18" s="12">
        <f t="shared" si="0"/>
        <v>1072</v>
      </c>
      <c r="I18" s="15" cm="1">
        <f t="array" ref="I18">MAX(IF($C$2:$C17=C18,ROW($C$2:$C17)))</f>
        <v>6</v>
      </c>
      <c r="J18" s="15" cm="1">
        <f t="array" aca="1" ref="J18" ca="1">IF(I18=0, 0, INDIRECT("K"&amp;I18))</f>
        <v>600</v>
      </c>
      <c r="K18" s="15">
        <f t="shared" ca="1" si="1"/>
        <v>1200</v>
      </c>
      <c r="L18" s="3"/>
    </row>
    <row r="19" spans="1:12" x14ac:dyDescent="0.25">
      <c r="A19" s="45">
        <v>44774</v>
      </c>
      <c r="B19" s="46" t="s">
        <v>82</v>
      </c>
      <c r="C19" s="47" t="s">
        <v>83</v>
      </c>
      <c r="D19" s="47" t="s">
        <v>43</v>
      </c>
      <c r="E19" s="4">
        <v>300</v>
      </c>
      <c r="F19" s="13">
        <v>0.83</v>
      </c>
      <c r="G19" s="13">
        <v>10</v>
      </c>
      <c r="H19" s="12">
        <f t="shared" ref="H19" si="2">E19*F19+G19</f>
        <v>259</v>
      </c>
      <c r="I19" s="15" cm="1">
        <f t="array" ref="I19">MAX(IF($C$2:$C18=C19,ROW($C$2:$C18)))</f>
        <v>0</v>
      </c>
      <c r="J19" s="15" cm="1">
        <f t="array" aca="1" ref="J19" ca="1">IF(I19=0, 0, INDIRECT("K"&amp;I19))</f>
        <v>0</v>
      </c>
      <c r="K19" s="15">
        <f t="shared" ref="K19" ca="1" si="3">J19+E19</f>
        <v>300</v>
      </c>
      <c r="L19" s="3"/>
    </row>
    <row r="21" spans="1:12" x14ac:dyDescent="0.25">
      <c r="B21" s="6"/>
      <c r="C21" s="5"/>
      <c r="D21" s="5"/>
    </row>
    <row r="27" spans="1:12" x14ac:dyDescent="0.25">
      <c r="I27" s="39"/>
      <c r="J27" s="39"/>
      <c r="K27" s="39"/>
    </row>
    <row r="28" spans="1:12" x14ac:dyDescent="0.25">
      <c r="I28" s="40"/>
      <c r="J28" s="40"/>
      <c r="K28" s="40"/>
    </row>
    <row r="29" spans="1:12" x14ac:dyDescent="0.25">
      <c r="I29" s="40"/>
      <c r="J29" s="40"/>
      <c r="K29" s="40"/>
    </row>
    <row r="30" spans="1:12" x14ac:dyDescent="0.25">
      <c r="I30" s="40"/>
      <c r="J30" s="40"/>
      <c r="K30" s="40"/>
    </row>
    <row r="31" spans="1:12" x14ac:dyDescent="0.25">
      <c r="I31" s="40"/>
      <c r="J31" s="40"/>
      <c r="K31" s="40"/>
    </row>
    <row r="32" spans="1:12" x14ac:dyDescent="0.25">
      <c r="I32" s="40"/>
      <c r="J32" s="40"/>
      <c r="K32" s="40"/>
    </row>
    <row r="33" spans="9:11" x14ac:dyDescent="0.25">
      <c r="I33" s="40"/>
      <c r="J33" s="40"/>
      <c r="K33" s="40"/>
    </row>
    <row r="34" spans="9:11" x14ac:dyDescent="0.25">
      <c r="I34" s="40"/>
      <c r="J34" s="40"/>
      <c r="K34" s="40"/>
    </row>
    <row r="35" spans="9:11" x14ac:dyDescent="0.25">
      <c r="I35" s="40"/>
      <c r="J35" s="40"/>
      <c r="K35" s="40"/>
    </row>
    <row r="36" spans="9:11" x14ac:dyDescent="0.25">
      <c r="I36" s="40"/>
      <c r="J36" s="40"/>
      <c r="K36" s="40"/>
    </row>
    <row r="37" spans="9:11" x14ac:dyDescent="0.25">
      <c r="I37" s="40"/>
      <c r="J37" s="40"/>
      <c r="K37" s="40"/>
    </row>
    <row r="38" spans="9:11" x14ac:dyDescent="0.25">
      <c r="I38" s="40"/>
      <c r="J38" s="40"/>
      <c r="K38" s="40"/>
    </row>
    <row r="39" spans="9:11" x14ac:dyDescent="0.25">
      <c r="I39" s="40"/>
      <c r="J39" s="40"/>
      <c r="K39" s="40"/>
    </row>
    <row r="40" spans="9:11" x14ac:dyDescent="0.25">
      <c r="I40" s="40"/>
      <c r="J40" s="40"/>
      <c r="K40" s="40"/>
    </row>
    <row r="41" spans="9:11" x14ac:dyDescent="0.25">
      <c r="I41" s="40"/>
      <c r="J41" s="40"/>
      <c r="K41" s="40"/>
    </row>
    <row r="42" spans="9:11" x14ac:dyDescent="0.25">
      <c r="I42" s="40"/>
      <c r="J42" s="40"/>
      <c r="K42" s="40"/>
    </row>
    <row r="43" spans="9:11" x14ac:dyDescent="0.25">
      <c r="I43" s="40"/>
      <c r="J43" s="40"/>
      <c r="K43" s="40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D8418-6DC8-4470-BDB3-908E6D26A90C}">
  <sheetPr codeName="Sheet4"/>
  <dimension ref="A1:K16"/>
  <sheetViews>
    <sheetView zoomScale="85" zoomScaleNormal="85" workbookViewId="0">
      <selection activeCell="J2" sqref="J2"/>
    </sheetView>
  </sheetViews>
  <sheetFormatPr defaultRowHeight="15.75" x14ac:dyDescent="0.25"/>
  <cols>
    <col min="1" max="1" width="14.875" style="4" bestFit="1" customWidth="1"/>
    <col min="2" max="2" width="22.75" bestFit="1" customWidth="1"/>
    <col min="3" max="3" width="10.5" bestFit="1" customWidth="1"/>
    <col min="4" max="4" width="8.875" bestFit="1" customWidth="1"/>
    <col min="5" max="5" width="14.75" bestFit="1" customWidth="1"/>
    <col min="6" max="6" width="14.5" bestFit="1" customWidth="1"/>
    <col min="7" max="7" width="7.375" bestFit="1" customWidth="1"/>
    <col min="8" max="8" width="10.125" bestFit="1" customWidth="1"/>
    <col min="9" max="9" width="11.875" bestFit="1" customWidth="1"/>
    <col min="10" max="10" width="12.125" customWidth="1"/>
    <col min="11" max="11" width="17.875" bestFit="1" customWidth="1"/>
  </cols>
  <sheetData>
    <row r="1" spans="1:11" x14ac:dyDescent="0.25">
      <c r="A1" s="4" t="s">
        <v>52</v>
      </c>
      <c r="E1" s="4"/>
      <c r="F1" s="13"/>
      <c r="G1" s="13"/>
      <c r="H1" s="14"/>
      <c r="I1" s="14"/>
      <c r="J1" s="14"/>
    </row>
    <row r="2" spans="1:11" ht="47.25" x14ac:dyDescent="0.25">
      <c r="A2" s="16" t="s">
        <v>53</v>
      </c>
      <c r="B2" s="16" t="s">
        <v>24</v>
      </c>
      <c r="C2" s="16" t="s">
        <v>58</v>
      </c>
      <c r="D2" s="17" t="s">
        <v>63</v>
      </c>
      <c r="E2" s="16" t="s">
        <v>54</v>
      </c>
      <c r="F2" s="18" t="s">
        <v>55</v>
      </c>
      <c r="G2" s="18" t="s">
        <v>56</v>
      </c>
      <c r="H2" s="19" t="s">
        <v>69</v>
      </c>
      <c r="I2" s="19" t="s">
        <v>70</v>
      </c>
      <c r="J2" s="27" t="s">
        <v>71</v>
      </c>
      <c r="K2" s="16" t="s">
        <v>64</v>
      </c>
    </row>
    <row r="3" spans="1:11" x14ac:dyDescent="0.25">
      <c r="A3" s="20">
        <v>44774</v>
      </c>
      <c r="B3" s="3" t="s">
        <v>66</v>
      </c>
      <c r="C3" s="43" t="s">
        <v>67</v>
      </c>
      <c r="D3" s="7" t="s">
        <v>43</v>
      </c>
      <c r="E3" s="7">
        <v>3000</v>
      </c>
      <c r="F3" s="12">
        <v>1.1949000000000001</v>
      </c>
      <c r="G3" s="12">
        <v>0</v>
      </c>
      <c r="H3" s="12">
        <f>E3*F3-G3</f>
        <v>3584.7000000000003</v>
      </c>
      <c r="I3" s="12">
        <f>SUMIF(Buy_Transactions!C:C, C3, Buy_Transactions!H:H)</f>
        <v>2971.5</v>
      </c>
      <c r="J3" s="12">
        <f>H3-I3</f>
        <v>613.20000000000027</v>
      </c>
      <c r="K3" s="3"/>
    </row>
    <row r="4" spans="1:11" x14ac:dyDescent="0.25">
      <c r="A4" s="20"/>
      <c r="B4" s="41"/>
      <c r="C4" s="7"/>
      <c r="D4" s="42"/>
      <c r="E4" s="7"/>
      <c r="F4" s="12"/>
      <c r="G4" s="12"/>
      <c r="H4" s="12"/>
      <c r="I4" s="12"/>
      <c r="J4" s="12"/>
      <c r="K4" s="3"/>
    </row>
    <row r="5" spans="1:11" x14ac:dyDescent="0.25">
      <c r="A5" s="20"/>
      <c r="B5" s="3"/>
      <c r="C5" s="22"/>
      <c r="D5" s="7"/>
      <c r="E5" s="7"/>
      <c r="F5" s="12"/>
      <c r="G5" s="12"/>
      <c r="H5" s="12"/>
      <c r="I5" s="12"/>
      <c r="J5" s="12"/>
      <c r="K5" s="3"/>
    </row>
    <row r="6" spans="1:11" x14ac:dyDescent="0.25">
      <c r="A6" s="20"/>
      <c r="B6" s="3"/>
      <c r="C6" s="7"/>
      <c r="D6" s="7"/>
      <c r="E6" s="7"/>
      <c r="F6" s="12"/>
      <c r="G6" s="12"/>
      <c r="H6" s="12"/>
      <c r="I6" s="12"/>
      <c r="J6" s="12"/>
      <c r="K6" s="3"/>
    </row>
    <row r="7" spans="1:11" x14ac:dyDescent="0.25">
      <c r="A7" s="20"/>
      <c r="B7" s="3"/>
      <c r="C7" s="7"/>
      <c r="D7" s="7"/>
      <c r="E7" s="15"/>
      <c r="F7" s="12"/>
      <c r="G7" s="12"/>
      <c r="H7" s="12"/>
      <c r="I7" s="12"/>
      <c r="J7" s="12"/>
      <c r="K7" s="3"/>
    </row>
    <row r="8" spans="1:11" x14ac:dyDescent="0.25">
      <c r="A8" s="20"/>
      <c r="B8" s="3"/>
      <c r="C8" s="7"/>
      <c r="D8" s="7"/>
      <c r="E8" s="7"/>
      <c r="F8" s="12"/>
      <c r="G8" s="12"/>
      <c r="H8" s="12"/>
      <c r="I8" s="12"/>
      <c r="J8" s="12"/>
      <c r="K8" s="3"/>
    </row>
    <row r="9" spans="1:11" x14ac:dyDescent="0.25">
      <c r="A9" s="20"/>
      <c r="B9" s="3"/>
      <c r="C9" s="7"/>
      <c r="D9" s="7"/>
      <c r="E9" s="7"/>
      <c r="F9" s="12"/>
      <c r="G9" s="12"/>
      <c r="H9" s="12"/>
      <c r="I9" s="12"/>
      <c r="J9" s="12"/>
      <c r="K9" s="3"/>
    </row>
    <row r="10" spans="1:11" x14ac:dyDescent="0.25">
      <c r="A10" s="20"/>
      <c r="B10" s="3"/>
      <c r="C10" s="7"/>
      <c r="D10" s="7"/>
      <c r="E10" s="7"/>
      <c r="F10" s="12"/>
      <c r="G10" s="12"/>
      <c r="H10" s="12"/>
      <c r="I10" s="12"/>
      <c r="J10" s="12"/>
      <c r="K10" s="3"/>
    </row>
    <row r="11" spans="1:11" x14ac:dyDescent="0.25">
      <c r="A11" s="20"/>
      <c r="B11" s="3"/>
      <c r="C11" s="7"/>
      <c r="D11" s="7"/>
      <c r="E11" s="7"/>
      <c r="F11" s="12"/>
      <c r="G11" s="12"/>
      <c r="H11" s="12"/>
      <c r="I11" s="12"/>
      <c r="J11" s="12"/>
      <c r="K11" s="3"/>
    </row>
    <row r="12" spans="1:11" x14ac:dyDescent="0.25">
      <c r="A12" s="20"/>
      <c r="B12" s="3"/>
      <c r="C12" s="7"/>
      <c r="D12" s="7"/>
      <c r="E12" s="7"/>
      <c r="F12" s="12"/>
      <c r="G12" s="12"/>
      <c r="H12" s="12"/>
      <c r="I12" s="12"/>
      <c r="J12" s="12"/>
      <c r="K12" s="3"/>
    </row>
    <row r="13" spans="1:11" x14ac:dyDescent="0.25">
      <c r="A13" s="20"/>
      <c r="B13" s="3"/>
      <c r="C13" s="7"/>
      <c r="D13" s="7"/>
      <c r="E13" s="7"/>
      <c r="F13" s="12"/>
      <c r="G13" s="12"/>
      <c r="H13" s="12"/>
      <c r="I13" s="12"/>
      <c r="J13" s="12"/>
      <c r="K13" s="3"/>
    </row>
    <row r="14" spans="1:11" x14ac:dyDescent="0.25">
      <c r="A14" s="20"/>
      <c r="B14" s="3"/>
      <c r="C14" s="7"/>
      <c r="D14" s="7"/>
      <c r="E14" s="7"/>
      <c r="F14" s="12"/>
      <c r="G14" s="12"/>
      <c r="H14" s="12"/>
      <c r="I14" s="12"/>
      <c r="J14" s="12"/>
      <c r="K14" s="3"/>
    </row>
    <row r="15" spans="1:11" x14ac:dyDescent="0.25">
      <c r="A15" s="20"/>
      <c r="B15" s="11"/>
      <c r="C15" s="7"/>
      <c r="D15" s="7"/>
      <c r="E15" s="7"/>
      <c r="F15" s="12"/>
      <c r="G15" s="12"/>
      <c r="H15" s="12"/>
      <c r="I15" s="12"/>
      <c r="J15" s="12"/>
      <c r="K15" s="3"/>
    </row>
    <row r="16" spans="1:11" x14ac:dyDescent="0.25">
      <c r="A16" s="20"/>
      <c r="B16" s="3"/>
      <c r="C16" s="7"/>
      <c r="D16" s="7"/>
      <c r="E16" s="7"/>
      <c r="F16" s="12"/>
      <c r="G16" s="12"/>
      <c r="H16" s="12"/>
      <c r="I16" s="12"/>
      <c r="J16" s="12"/>
      <c r="K16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412B-AD28-431E-9D86-6E69CA7CBAB8}">
  <sheetPr codeName="Sheet6"/>
  <dimension ref="A1:B3"/>
  <sheetViews>
    <sheetView workbookViewId="0">
      <selection activeCell="F4" sqref="F4"/>
    </sheetView>
  </sheetViews>
  <sheetFormatPr defaultRowHeight="15.75" x14ac:dyDescent="0.25"/>
  <cols>
    <col min="1" max="1" width="13.25" bestFit="1" customWidth="1"/>
    <col min="2" max="2" width="11.875" bestFit="1" customWidth="1"/>
  </cols>
  <sheetData>
    <row r="1" spans="1:2" ht="47.25" x14ac:dyDescent="0.25">
      <c r="A1" s="16" t="s">
        <v>60</v>
      </c>
      <c r="B1" s="17" t="s">
        <v>72</v>
      </c>
    </row>
    <row r="2" spans="1:2" x14ac:dyDescent="0.25">
      <c r="A2" s="7" t="s">
        <v>61</v>
      </c>
      <c r="B2" s="7">
        <v>0.17050999402999878</v>
      </c>
    </row>
    <row r="3" spans="1:2" x14ac:dyDescent="0.25">
      <c r="A3" s="7" t="s">
        <v>62</v>
      </c>
      <c r="B3" s="7">
        <v>1.3376799821853638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Graphs</vt:lpstr>
      <vt:lpstr>Buy_Transactions</vt:lpstr>
      <vt:lpstr>Sell_Transactions</vt:lpstr>
      <vt:lpstr>Ref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Zhen Xuan</cp:lastModifiedBy>
  <dcterms:created xsi:type="dcterms:W3CDTF">2015-01-25T11:31:25Z</dcterms:created>
  <dcterms:modified xsi:type="dcterms:W3CDTF">2023-02-21T10:16:39Z</dcterms:modified>
  <cp:category/>
  <cp:contentStatus/>
</cp:coreProperties>
</file>