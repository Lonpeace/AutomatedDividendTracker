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3DC3392F-31D6-4D1A-A4C9-DEB344FE80EF}" xr6:coauthVersionLast="47" xr6:coauthVersionMax="47" xr10:uidLastSave="{00000000-0000-0000-0000-000000000000}"/>
  <bookViews>
    <workbookView xWindow="4065" yWindow="2205" windowWidth="22425" windowHeight="18000" tabRatio="500" activeTab="1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3" i="3" a="1"/>
  <c r="J10" i="3" a="1"/>
  <c r="J12" i="3" a="1"/>
  <c r="J18" i="3" a="1"/>
  <c r="I5" i="1" l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H13" i="1"/>
  <c r="I13" i="1" s="1"/>
  <c r="H12" i="1"/>
  <c r="I12" i="1" s="1"/>
  <c r="J15" i="3" a="1"/>
  <c r="J14" i="3" a="1"/>
  <c r="F4" i="1" l="1"/>
  <c r="G4" i="1" s="1"/>
  <c r="C4" i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<sst xmlns="http://schemas.openxmlformats.org/spreadsheetml/2006/main" count="151" uniqueCount="82">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</sst>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95250</xdr:rowOff>
        </xdr:from>
        <xdr:to>
          <xdr:col>3</xdr:col>
          <xdr:colOff>238125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9524</xdr:colOff>
      <xdr:row>3</xdr:row>
      <xdr:rowOff>190501</xdr:rowOff>
    </xdr:from>
    <xdr:to>
      <xdr:col>7</xdr:col>
      <xdr:colOff>9525</xdr:colOff>
      <xdr:row>21</xdr:row>
      <xdr:rowOff>28575</xdr:rowOff>
    </xdr:to>
    <xdr:pic>
      <xdr:nvPicPr>
        <xdr:cNvPr id="2074" name="test1">
          <a:extLst>
            <a:ext uri="{FF2B5EF4-FFF2-40B4-BE49-F238E27FC236}">
              <a16:creationId xmlns:a16="http://schemas.microsoft.com/office/drawing/2014/main" id="{E3426EB5-D577-F13F-87EA-65A402543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4" y="790576"/>
          <a:ext cx="4800601" cy="343852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238124</xdr:colOff>
      <xdr:row>3</xdr:row>
      <xdr:rowOff>161925</xdr:rowOff>
    </xdr:from>
    <xdr:to>
      <xdr:col>15</xdr:col>
      <xdr:colOff>266699</xdr:colOff>
      <xdr:row>19</xdr:row>
      <xdr:rowOff>112932</xdr:rowOff>
    </xdr:to>
    <xdr:pic>
      <xdr:nvPicPr>
        <xdr:cNvPr id="2076" name="test2">
          <a:extLst>
            <a:ext uri="{FF2B5EF4-FFF2-40B4-BE49-F238E27FC236}">
              <a16:creationId xmlns:a16="http://schemas.microsoft.com/office/drawing/2014/main" id="{0EFD6632-7043-9993-BF26-59750AFAB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0324" y="762000"/>
          <a:ext cx="4143375" cy="31514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zoomScale="85" zoomScaleNormal="85" workbookViewId="0">
      <selection activeCell="B4" sqref="B4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44978.832083333335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0.72922977546528422</v>
      </c>
      <c r="D2" s="12">
        <f>SUMIF(C8:C16, "SGD", O8:O16)</f>
        <v>19002.000093460083</v>
      </c>
      <c r="E2" s="23">
        <f>D2/($D$2+$D$3+$D$4)</f>
        <v>0.72699639708967301</v>
      </c>
      <c r="F2" s="12">
        <f>SUMIF(C8:C16, "SGD", I8:I16)</f>
        <v>2558.4200934600835</v>
      </c>
      <c r="G2" s="23">
        <f>F2/(B2)</f>
        <v>0.15558777914907115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1087.8183742761612</v>
      </c>
      <c r="C3" s="23">
        <f>B3/($B$2+$B$3+$B$4)</f>
        <v>4.8241900414655169E-2</v>
      </c>
      <c r="D3" s="12">
        <f>SUMIF(C8:C16, "USD", O8:O16) * Ref!B3</f>
        <v>1252.3960159596641</v>
      </c>
      <c r="E3" s="23">
        <f>D3/($D$2+$D$3+$D$4)</f>
        <v>4.7915345061254826E-2</v>
      </c>
      <c r="F3" s="12">
        <f>SUMIF(C8:C16, "USD", I8:I16) * Ref!B3</f>
        <v>164.57764168350275</v>
      </c>
      <c r="G3" s="23">
        <f t="shared" ref="G3:G4" si="0">F3/(B3)</f>
        <v>0.15129147068600801</v>
      </c>
      <c r="H3" s="12">
        <f>SUMIF(C8:C16, "USD", K8:K16) * Ref!B3</f>
        <v>0</v>
      </c>
      <c r="I3" s="25">
        <f>SUMIF(C8:C16, "USD", M8:M16) * Ref!B3</f>
        <v>133.80299806594849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5017.8454350680113</v>
      </c>
      <c r="C4" s="23">
        <f>B4/($B$2+$B$3+$B$4)</f>
        <v>0.22252832412006063</v>
      </c>
      <c r="D4" s="12">
        <f xml:space="preserve"> SUMIF(C8:C16, "HKD", O8:O16) * Ref!B2</f>
        <v>5883.2851356720894</v>
      </c>
      <c r="E4" s="23">
        <f>D4/($D$2+$D$3+$D$4)</f>
        <v>0.22508825784907219</v>
      </c>
      <c r="F4" s="12">
        <f xml:space="preserve"> SUMIF(C8:C16, "HKD", I8:I16) * Ref!B2</f>
        <v>865.43970060407833</v>
      </c>
      <c r="G4" s="23">
        <f t="shared" si="0"/>
        <v>0.17247237122048745</v>
      </c>
      <c r="H4" s="12">
        <f xml:space="preserve"> SUMIF(C8:C16, "HKD",K8:K16) * Ref!B2</f>
        <v>0</v>
      </c>
      <c r="I4" s="25">
        <f xml:space="preserve"> SUMIF(C8:C16, "HKD",M8:M16) * Ref!B2</f>
        <v>1041.3435297667982</v>
      </c>
    </row>
    <row r="5" spans="1:15" ht="16.5" thickBot="1" x14ac:dyDescent="0.3">
      <c r="A5" s="9" t="s">
        <v>76</v>
      </c>
      <c r="B5" s="21">
        <f>B2+B3+B4</f>
        <v>22549.243809344174</v>
      </c>
      <c r="C5" s="10"/>
      <c r="D5" s="21">
        <f>D2+D3+D4</f>
        <v>26137.681245091837</v>
      </c>
      <c r="E5" s="10"/>
      <c r="F5" s="21">
        <f>F2+F3+F4</f>
        <v>3588.4374357476645</v>
      </c>
      <c r="G5" s="10"/>
      <c r="H5" s="21">
        <f>H2+H3+H4</f>
        <v>613.20000000000027</v>
      </c>
      <c r="I5" s="26">
        <f>I2+I3+I4</f>
        <v>3000.1988278327467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34.860000610351563</v>
      </c>
      <c r="E8" s="28">
        <v>34.919998168945313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2425.0001220703125</v>
      </c>
      <c r="J8" s="23">
        <f>IF(G8=0, 0, I8/G8)</f>
        <v>0.53331869849797942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2989.0001220703125</v>
      </c>
      <c r="O8" s="25">
        <f t="shared" ref="O8:O16" si="1">D8*F8</f>
        <v>6972.0001220703125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13.039999961853027</v>
      </c>
      <c r="E9" s="12">
        <v>13.050000190734863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1204.9999885559082</v>
      </c>
      <c r="J9" s="23">
        <f t="shared" ref="J9:J16" si="4">IF(G9=0, 0, I9/G9)</f>
        <v>0.44514221963646405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1543.3999885559083</v>
      </c>
      <c r="O9" s="25">
        <f t="shared" si="1"/>
        <v>3911.9999885559082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2.3499999046325684</v>
      </c>
      <c r="E11" s="12">
        <v>2.3499999046325684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-505.58014305114705</v>
      </c>
      <c r="J11" s="23">
        <f t="shared" si="4"/>
        <v>-0.12543607695446984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-172.30184305114705</v>
      </c>
      <c r="O11" s="25">
        <f t="shared" si="1"/>
        <v>3524.9998569488525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1.690000057220459</v>
      </c>
      <c r="E12" s="12">
        <v>1.690000057220459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-225.9999313354493</v>
      </c>
      <c r="J12" s="23">
        <f t="shared" si="4"/>
        <v>-0.1002661629704744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-56.115931335449289</v>
      </c>
      <c r="O12" s="25">
        <f t="shared" si="1"/>
        <v>2028.0000686645508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1.7100000381469727</v>
      </c>
      <c r="E13" s="12">
        <v>1.7100000381469727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-339.99994277954113</v>
      </c>
      <c r="J13" s="23">
        <f t="shared" si="4"/>
        <v>-0.11703956722187302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-275.19994277954112</v>
      </c>
      <c r="O13" s="25">
        <f t="shared" si="1"/>
        <v>2565.000057220459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4.25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2.9500000476837158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-464.99971389770423</v>
      </c>
      <c r="J15" s="23">
        <f t="shared" si="4"/>
        <v>-2.5598663027674332E-2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1440.9222861022961</v>
      </c>
      <c r="O15" s="25">
        <f t="shared" si="1"/>
        <v>17700.000286102295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4.679999828338623</v>
      </c>
      <c r="E16" s="21">
        <v>4.6599998474121094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122.99996566772452</v>
      </c>
      <c r="J16" s="24">
        <f t="shared" si="4"/>
        <v>0.15129147068600801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222.99996566772452</v>
      </c>
      <c r="O16" s="26">
        <f t="shared" si="1"/>
        <v>935.99996566772461</v>
      </c>
    </row>
    <row r="17" spans="1:15" ht="16.5" thickBot="1" x14ac:dyDescent="0.3">
      <c r="A17" s="46"/>
      <c r="B17" s="47"/>
      <c r="C17" s="47"/>
      <c r="D17" s="21"/>
      <c r="E17" s="21"/>
      <c r="F17" s="10"/>
      <c r="G17" s="21"/>
      <c r="H17" s="21"/>
      <c r="I17" s="21"/>
      <c r="J17" s="24"/>
      <c r="K17" s="21"/>
      <c r="L17" s="21"/>
      <c r="M17" s="21"/>
      <c r="N17" s="21"/>
      <c r="O17" s="2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sheetPr codeName="Sheet5"/>
  <dimension ref="A1"/>
  <sheetViews>
    <sheetView tabSelected="1" workbookViewId="0">
      <selection activeCell="I19" sqref="I19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200025</xdr:colOff>
                    <xdr:row>0</xdr:row>
                    <xdr:rowOff>95250</xdr:rowOff>
                  </from>
                  <to>
                    <xdr:col>3</xdr:col>
                    <xdr:colOff>238125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I27" sqref="I27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/>
      <c r="B19" s="46"/>
      <c r="C19" s="47"/>
      <c r="D19" s="47"/>
      <c r="H19" s="12"/>
      <c r="I19" s="15"/>
      <c r="J19" s="15"/>
      <c r="K19" s="15"/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0.17053000628948212</v>
      </c>
    </row>
    <row r="3" spans="1:2" x14ac:dyDescent="0.25">
      <c r="A3" s="7" t="s">
        <v>62</v>
      </c>
      <c r="B3" s="7">
        <v>1.3380299806594849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2023-03-22T17:15:31Z</dcterms:modified>
  <cp:category/>
  <cp:contentStatus/>
</cp:coreProperties>
</file>