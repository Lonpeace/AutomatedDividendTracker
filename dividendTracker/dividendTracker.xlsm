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09FDA1BD-DE7A-43AD-9436-C5999F3B343A}" xr6:coauthVersionLast="47" xr6:coauthVersionMax="47" xr10:uidLastSave="{00000000-0000-0000-0000-000000000000}"/>
  <bookViews>
    <workbookView xWindow="13725" yWindow="3510" windowWidth="23790" windowHeight="14250" tabRatio="500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" l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8" i="3" a="1"/>
  <c r="J13" i="3" a="1"/>
  <c r="J12" i="3" a="1"/>
  <c r="J10" i="3" a="1"/>
  <c r="I5" i="1" l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F4" i="1" s="1"/>
  <c r="H13" i="1"/>
  <c r="I13" i="1" s="1"/>
  <c r="H12" i="1"/>
  <c r="I12" i="1" s="1"/>
  <c r="J15" i="3" a="1"/>
  <c r="J14" i="3" a="1"/>
  <c r="C4" i="1" l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8" i="1" a="1"/>
  <c r="K8" i="1" s="1"/>
  <c r="H2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G4" i="1"/>
  <c r="I8" i="1"/>
  <c r="J8" i="1" s="1"/>
  <c r="J9" i="1"/>
  <c r="J11" i="1"/>
  <c r="J14" i="1"/>
  <c r="J16" i="1"/>
  <c r="J12" i="1"/>
  <c r="J13" i="1"/>
  <c r="J15" i="1"/>
  <c r="J16" i="3" a="1"/>
  <c r="D5" i="1" l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<sst xmlns="http://schemas.openxmlformats.org/spreadsheetml/2006/main" count="151" uniqueCount="82">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</sst>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6"/>
  <sheetViews>
    <sheetView tabSelected="1" zoomScale="85" zoomScaleNormal="85" workbookViewId="0">
      <selection activeCell="B5" sqref="B5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44976.650821759256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0.7294536460568537</v>
      </c>
      <c r="D2" s="12">
        <f>SUMIF(C8:C16, "SGD", O8:O16)</f>
        <v>18929.000091552734</v>
      </c>
      <c r="E2" s="23">
        <f>D2/($D$2+$D$3+$D$4)</f>
        <v>0.72562504223459001</v>
      </c>
      <c r="F2" s="12">
        <f>SUMIF(C8:C16, "SGD", I8:I16)</f>
        <v>2485.4200915527349</v>
      </c>
      <c r="G2" s="23">
        <f>F2/(B2)</f>
        <v>0.15114835647424313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1086.9891511201859</v>
      </c>
      <c r="C3" s="23">
        <f>B3/($B$2+$B$3+$B$4)</f>
        <v>4.8219925314856249E-2</v>
      </c>
      <c r="D3" s="12">
        <f>SUMIF(C8:C16, "USD", O8:O16) * Ref!B3</f>
        <v>1291.5516646936794</v>
      </c>
      <c r="E3" s="23">
        <f>D3/($D$2+$D$3+$D$4)</f>
        <v>4.9510392873828211E-2</v>
      </c>
      <c r="F3" s="12">
        <f>SUMIF(C8:C16, "USD", I8:I16) * Ref!B3</f>
        <v>204.56251357349345</v>
      </c>
      <c r="G3" s="23">
        <f t="shared" ref="G3:G4" si="0">F3/(B3)</f>
        <v>0.18819186315032085</v>
      </c>
      <c r="H3" s="12">
        <f>SUMIF(C8:C16, "USD", K8:K16) * Ref!B3</f>
        <v>0</v>
      </c>
      <c r="I3" s="25">
        <f>SUMIF(C8:C16, "USD", M8:M16) * Ref!B3</f>
        <v>133.70100259780884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5011.7542561143637</v>
      </c>
      <c r="C4" s="23">
        <f>B4/($B$2+$B$3+$B$4)</f>
        <v>0.22232642862829</v>
      </c>
      <c r="D4" s="12">
        <f xml:space="preserve"> SUMIF(C8:C16, "HKD", O8:O16) * Ref!B2</f>
        <v>5865.9240264252476</v>
      </c>
      <c r="E4" s="23">
        <f>D4/($D$2+$D$3+$D$4)</f>
        <v>0.22486456489158174</v>
      </c>
      <c r="F4" s="12">
        <f xml:space="preserve"> SUMIF(C8:C16, "HKD", I8:I16) * Ref!B2</f>
        <v>854.16977031088391</v>
      </c>
      <c r="G4" s="23">
        <f t="shared" si="0"/>
        <v>0.17043329075219377</v>
      </c>
      <c r="H4" s="12">
        <f xml:space="preserve"> SUMIF(C8:C16, "HKD",K8:K16) * Ref!B2</f>
        <v>0</v>
      </c>
      <c r="I4" s="25">
        <f xml:space="preserve"> SUMIF(C8:C16, "HKD",M8:M16) * Ref!B2</f>
        <v>1040.0794394567015</v>
      </c>
    </row>
    <row r="5" spans="1:15" ht="16.5" thickBot="1" x14ac:dyDescent="0.3">
      <c r="A5" s="9" t="s">
        <v>76</v>
      </c>
      <c r="B5" s="21">
        <f>B2+B3+B4</f>
        <v>22542.323407234551</v>
      </c>
      <c r="C5" s="10"/>
      <c r="D5" s="21">
        <f>D2+D3+D4</f>
        <v>26086.475782671663</v>
      </c>
      <c r="E5" s="10"/>
      <c r="F5" s="21">
        <f>F2+F3+F4</f>
        <v>3544.1523754371124</v>
      </c>
      <c r="G5" s="10"/>
      <c r="H5" s="21">
        <f>H2+H3+H4</f>
        <v>613.20000000000027</v>
      </c>
      <c r="I5" s="26">
        <f>I2+I3+I4</f>
        <v>2998.8327420545102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35.020000457763672</v>
      </c>
      <c r="E8" s="28">
        <v>34.799999237060547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2457.0000915527344</v>
      </c>
      <c r="J8" s="23">
        <f>IF(G8=0, 0, I8/G8)</f>
        <v>0.54035629899994153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3021.0000915527344</v>
      </c>
      <c r="O8" s="25">
        <f t="shared" ref="O8:O16" si="1">D8*F8</f>
        <v>7004.0000915527344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13.010000228881836</v>
      </c>
      <c r="E9" s="12">
        <v>13.149999618530273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1196.0000686645508</v>
      </c>
      <c r="J9" s="23">
        <f t="shared" ref="J9:J16" si="4">IF(G9=0, 0, I9/G9)</f>
        <v>0.44181753552440001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1534.4000686645509</v>
      </c>
      <c r="O9" s="25">
        <f t="shared" si="1"/>
        <v>3903.0000686645508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2.2899999618530273</v>
      </c>
      <c r="E11" s="12">
        <v>2.309999942779541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-595.58005722045857</v>
      </c>
      <c r="J11" s="23">
        <f t="shared" si="4"/>
        <v>-0.14776534821798812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-262.30175722045857</v>
      </c>
      <c r="O11" s="25">
        <f t="shared" si="1"/>
        <v>3434.999942779541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1.6599999666213989</v>
      </c>
      <c r="E12" s="12">
        <v>1.6799999475479126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-262.0000400543214</v>
      </c>
      <c r="J12" s="23">
        <f t="shared" si="4"/>
        <v>-0.11623781723794206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-92.116040054321388</v>
      </c>
      <c r="O12" s="25">
        <f t="shared" si="1"/>
        <v>1991.9999599456787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1.7300000190734863</v>
      </c>
      <c r="E13" s="12">
        <v>1.7300000190734863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-309.99997138977062</v>
      </c>
      <c r="J13" s="23">
        <f t="shared" si="4"/>
        <v>-0.10671255469527388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-245.19997138977061</v>
      </c>
      <c r="O13" s="25">
        <f t="shared" si="1"/>
        <v>2595.0000286102295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4.3000001907348633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2.940000057220459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-524.99965667724518</v>
      </c>
      <c r="J15" s="23">
        <f t="shared" si="4"/>
        <v>-2.890171520381201E-2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1380.9223433227551</v>
      </c>
      <c r="O15" s="25">
        <f t="shared" si="1"/>
        <v>17640.000343322754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4.8299999237060547</v>
      </c>
      <c r="E16" s="21">
        <v>4.8400001525878906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152.99998474121085</v>
      </c>
      <c r="J16" s="24">
        <f t="shared" si="4"/>
        <v>0.18819186315032085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252.99998474121085</v>
      </c>
      <c r="O16" s="26">
        <f t="shared" si="1"/>
        <v>965.99998474121094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C27" sqref="C27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0.17032299935817719</v>
      </c>
    </row>
    <row r="3" spans="1:2" x14ac:dyDescent="0.25">
      <c r="A3" s="7" t="s">
        <v>62</v>
      </c>
      <c r="B3" s="7">
        <v>1.3370100259780884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2023-02-19T07:37:19Z</dcterms:modified>
  <cp:category/>
  <cp:contentStatus/>
</cp:coreProperties>
</file>